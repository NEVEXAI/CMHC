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mc:AlternateContent xmlns:mc="http://schemas.openxmlformats.org/markup-compatibility/2006">
    <mc:Choice Requires="x15">
      <x15ac:absPath xmlns:x15ac="http://schemas.microsoft.com/office/spreadsheetml/2010/11/ac" url="https://cmhcschl-my.sharepoint.com/personal/rdeloe_cmhc-schl_gc_ca/Documents/My P Drive/Working Files/_2026/CM0002564 - L1 - ACLP - update link for the median total income/"/>
    </mc:Choice>
  </mc:AlternateContent>
  <xr:revisionPtr revIDLastSave="0" documentId="8_{17488551-49A9-4B73-A160-459193D0DF9B}" xr6:coauthVersionLast="47" xr6:coauthVersionMax="47" xr10:uidLastSave="{00000000-0000-0000-0000-000000000000}"/>
  <workbookProtection workbookAlgorithmName="SHA-512" workbookHashValue="ZKS2nfzzK85KWLQT30on7PfU8VLlVgU+mWFMu7QBw63rDlYM3v3jhd1IGfzpJn4s6VNzo06RNwLVWm0Icxc70w==" workbookSaltValue="Cbg6AiFXtrNFfaftOaRtEQ==" workbookSpinCount="100000" lockStructure="1"/>
  <bookViews>
    <workbookView xWindow="-103" yWindow="-103" windowWidth="24892" windowHeight="15943" tabRatio="821" activeTab="1" xr2:uid="{00000000-000D-0000-FFFF-FFFF00000000}"/>
  </bookViews>
  <sheets>
    <sheet name="Cover Page" sheetId="12" r:id="rId1"/>
    <sheet name="Project Budget" sheetId="8" r:id="rId2"/>
    <sheet name="Residential New" sheetId="6" r:id="rId3"/>
    <sheet name="Non-Residential" sheetId="7" r:id="rId4"/>
    <sheet name="Scoring" sheetId="13" r:id="rId5"/>
    <sheet name="Scoring (Reference)" sheetId="19" r:id="rId6"/>
    <sheet name="Lending flex scorecard (hide)" sheetId="14" state="hidden" r:id="rId7"/>
    <sheet name="Market Adj. (hide)" sheetId="16" state="hidden" r:id="rId8"/>
    <sheet name="Mortg Calc" sheetId="3" state="hidden" r:id="rId9"/>
  </sheets>
  <externalReferences>
    <externalReference r:id="rId10"/>
  </externalReferences>
  <definedNames>
    <definedName name="_xlnm._FilterDatabase" localSheetId="7" hidden="1">'Market Adj. (hide)'!$A$1:$C$1</definedName>
    <definedName name="Buildingcode">'[1]Scorecard (V2)'!$J$8:$J$9</definedName>
    <definedName name="_xlnm.Print_Area" localSheetId="8">'Mortg Calc'!$A$1:$I$12</definedName>
    <definedName name="_xlnm.Print_Area" localSheetId="3">'Non-Residential'!$A$1:$N$94</definedName>
    <definedName name="_xlnm.Print_Area" localSheetId="1">'Project Budget'!$A$1:$I$37</definedName>
    <definedName name="_xlnm.Print_Area" localSheetId="2">'Residential New'!$A$1:$Q$134</definedName>
    <definedName name="_xlnm.Print_Area" localSheetId="4">Scoring!$A$1:$J$95</definedName>
    <definedName name="Response">#REF!</definedName>
    <definedName name="solver_eng" localSheetId="2" hidden="1">1</definedName>
    <definedName name="solver_neg" localSheetId="2" hidden="1">1</definedName>
    <definedName name="solver_num" localSheetId="2" hidden="1">0</definedName>
    <definedName name="solver_opt" localSheetId="2" hidden="1">'Residential New'!$I$112</definedName>
    <definedName name="solver_typ" localSheetId="2" hidden="1">1</definedName>
    <definedName name="solver_val" localSheetId="2" hidden="1">0</definedName>
    <definedName name="solver_ver" localSheetId="2"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13" l="1"/>
  <c r="D62" i="6" l="1"/>
  <c r="G99" i="13" l="1"/>
  <c r="H101" i="13" s="1"/>
  <c r="D92" i="13"/>
  <c r="D93" i="13"/>
  <c r="H33" i="13"/>
  <c r="E25" i="8"/>
  <c r="H128" i="13"/>
  <c r="H27" i="13"/>
  <c r="H114" i="6"/>
  <c r="G117" i="13"/>
  <c r="H117" i="13" s="1"/>
  <c r="G111" i="13"/>
  <c r="H111" i="13" s="1"/>
  <c r="G106" i="13"/>
  <c r="E28" i="8"/>
  <c r="O42" i="6"/>
  <c r="N42" i="6"/>
  <c r="M42" i="6"/>
  <c r="G124" i="13"/>
  <c r="G126" i="13" s="1"/>
  <c r="G104" i="13"/>
  <c r="H62" i="13"/>
  <c r="H85" i="13"/>
  <c r="H83" i="13"/>
  <c r="H36" i="13" l="1" a="1"/>
  <c r="H36" i="13" s="1"/>
  <c r="D37" i="13" s="1"/>
  <c r="H120" i="13" a="1"/>
  <c r="H120" i="13" s="1"/>
  <c r="D121" i="13" s="1"/>
  <c r="H37" i="13" l="1"/>
  <c r="H121" i="13"/>
  <c r="H130" i="13" s="1"/>
  <c r="C9" i="7" l="1"/>
  <c r="D9" i="13"/>
  <c r="H131" i="13"/>
  <c r="C9" i="6"/>
  <c r="C9" i="8"/>
  <c r="C155" i="13"/>
  <c r="E9" i="7" s="1"/>
  <c r="H134" i="13" l="1"/>
  <c r="H132" i="13"/>
  <c r="H133" i="13"/>
  <c r="E111" i="6" s="1"/>
  <c r="H135" i="13"/>
  <c r="I120" i="6"/>
  <c r="E9" i="13"/>
  <c r="E9" i="6"/>
  <c r="E9" i="8"/>
  <c r="H90" i="13"/>
  <c r="H87" i="13"/>
  <c r="H72" i="13"/>
  <c r="H80" i="13"/>
  <c r="H54" i="13"/>
  <c r="H52" i="13"/>
  <c r="H92" i="13" l="1"/>
  <c r="H93" i="13" l="1"/>
  <c r="D7" i="13"/>
  <c r="C7" i="6"/>
  <c r="C7" i="8"/>
  <c r="C7" i="7"/>
  <c r="C50" i="7"/>
  <c r="E32" i="8" l="1"/>
  <c r="I80" i="6" l="1"/>
  <c r="C35" i="7" l="1"/>
  <c r="E15" i="7"/>
  <c r="C38" i="7"/>
  <c r="C37" i="7"/>
  <c r="B30" i="7" l="1"/>
  <c r="B31" i="7"/>
  <c r="B29" i="7"/>
  <c r="B25" i="6"/>
  <c r="B27" i="6"/>
  <c r="B26" i="6"/>
  <c r="G27" i="6"/>
  <c r="G31" i="6"/>
  <c r="C147" i="6"/>
  <c r="C146" i="6"/>
  <c r="C152" i="6" l="1"/>
  <c r="C148" i="6"/>
  <c r="B34" i="6"/>
  <c r="B33" i="6"/>
  <c r="H77" i="7" l="1"/>
  <c r="C108" i="7" s="1"/>
  <c r="H76" i="7"/>
  <c r="C107" i="7" s="1"/>
  <c r="B38" i="7" l="1"/>
  <c r="B37" i="7"/>
  <c r="G32" i="6" l="1"/>
  <c r="E18" i="7" l="1"/>
  <c r="G34" i="6" l="1"/>
  <c r="G33" i="6"/>
  <c r="C36" i="7" l="1"/>
  <c r="H61" i="7" l="1"/>
  <c r="C31" i="7" l="1"/>
  <c r="C30" i="7"/>
  <c r="C29" i="7"/>
  <c r="C28" i="7"/>
  <c r="C27" i="7"/>
  <c r="C26" i="7"/>
  <c r="C25" i="7"/>
  <c r="C24" i="7"/>
  <c r="G26" i="6"/>
  <c r="G25" i="6"/>
  <c r="G24" i="6"/>
  <c r="G23" i="6"/>
  <c r="G22" i="6"/>
  <c r="G21" i="6"/>
  <c r="G20" i="6"/>
  <c r="H57" i="6"/>
  <c r="H55" i="6"/>
  <c r="H53" i="6"/>
  <c r="H51" i="6"/>
  <c r="H49" i="6"/>
  <c r="H47" i="6"/>
  <c r="H45" i="6"/>
  <c r="H43" i="6"/>
  <c r="G58" i="6"/>
  <c r="I58" i="6" s="1"/>
  <c r="G56" i="6"/>
  <c r="I56" i="6" s="1"/>
  <c r="G54" i="6"/>
  <c r="I54" i="6" s="1"/>
  <c r="G52" i="6"/>
  <c r="I52" i="6" s="1"/>
  <c r="G50" i="6"/>
  <c r="I50" i="6" s="1"/>
  <c r="G48" i="6"/>
  <c r="I48" i="6" s="1"/>
  <c r="G46" i="6"/>
  <c r="I46" i="6" s="1"/>
  <c r="G44" i="6"/>
  <c r="I44" i="6" s="1"/>
  <c r="H48" i="7"/>
  <c r="H47" i="7"/>
  <c r="H46" i="7"/>
  <c r="H45" i="7"/>
  <c r="D50" i="7"/>
  <c r="G28" i="6" l="1"/>
  <c r="C32" i="7"/>
  <c r="H50" i="7"/>
  <c r="H52" i="7" s="1"/>
  <c r="H53" i="7" s="1"/>
  <c r="H68" i="7" s="1"/>
  <c r="H84" i="7" l="1"/>
  <c r="H67" i="7"/>
  <c r="I118" i="6"/>
  <c r="G74" i="6"/>
  <c r="O58" i="6"/>
  <c r="H69" i="7" l="1"/>
  <c r="H71" i="7" s="1"/>
  <c r="M56" i="6"/>
  <c r="N56" i="6"/>
  <c r="N58" i="6"/>
  <c r="M58" i="6"/>
  <c r="O56" i="6"/>
  <c r="C106" i="7" l="1"/>
  <c r="C109" i="7" s="1"/>
  <c r="C60" i="6"/>
  <c r="D21" i="7" s="1"/>
  <c r="G57" i="6"/>
  <c r="I57" i="6" s="1"/>
  <c r="G59" i="6"/>
  <c r="I59" i="6" l="1"/>
  <c r="M59" i="6"/>
  <c r="N59" i="6"/>
  <c r="O59" i="6"/>
  <c r="E21" i="7"/>
  <c r="C61" i="6"/>
  <c r="C39" i="7"/>
  <c r="H83" i="7" s="1"/>
  <c r="H85" i="7" s="1"/>
  <c r="O57" i="6"/>
  <c r="N57" i="6"/>
  <c r="M57" i="6"/>
  <c r="G43" i="6"/>
  <c r="I43" i="6" s="1"/>
  <c r="G55" i="6"/>
  <c r="I55" i="6" s="1"/>
  <c r="G53" i="6"/>
  <c r="I53" i="6" s="1"/>
  <c r="G51" i="6"/>
  <c r="I51" i="6" s="1"/>
  <c r="G49" i="6"/>
  <c r="I49" i="6" s="1"/>
  <c r="G47" i="6"/>
  <c r="I47" i="6" s="1"/>
  <c r="G45" i="6"/>
  <c r="I45" i="6" s="1"/>
  <c r="G5" i="8" l="1"/>
  <c r="H5" i="7"/>
  <c r="G5" i="13"/>
  <c r="G5" i="6"/>
  <c r="H75" i="7"/>
  <c r="H86" i="7"/>
  <c r="I60" i="6"/>
  <c r="O55" i="6"/>
  <c r="M55" i="6"/>
  <c r="N55" i="6"/>
  <c r="M54" i="6"/>
  <c r="N54" i="6"/>
  <c r="O54" i="6"/>
  <c r="O53" i="6"/>
  <c r="M53" i="6"/>
  <c r="N53" i="6"/>
  <c r="O52" i="6"/>
  <c r="M52" i="6"/>
  <c r="N52" i="6"/>
  <c r="O51" i="6"/>
  <c r="M51" i="6"/>
  <c r="N51" i="6"/>
  <c r="N50" i="6"/>
  <c r="O50" i="6"/>
  <c r="M50" i="6"/>
  <c r="O49" i="6"/>
  <c r="M49" i="6"/>
  <c r="N49" i="6"/>
  <c r="M48" i="6"/>
  <c r="N48" i="6"/>
  <c r="O48" i="6"/>
  <c r="O47" i="6"/>
  <c r="N47" i="6"/>
  <c r="M47" i="6"/>
  <c r="M46" i="6"/>
  <c r="O46" i="6"/>
  <c r="N46" i="6"/>
  <c r="O45" i="6"/>
  <c r="N45" i="6"/>
  <c r="M45" i="6"/>
  <c r="M44" i="6"/>
  <c r="N44" i="6"/>
  <c r="O44" i="6"/>
  <c r="O43" i="6"/>
  <c r="N43" i="6"/>
  <c r="M43" i="6"/>
  <c r="G82" i="6"/>
  <c r="G71" i="6"/>
  <c r="I71" i="6" s="1"/>
  <c r="G70" i="6"/>
  <c r="I70" i="6" s="1"/>
  <c r="D60" i="6"/>
  <c r="H59" i="6"/>
  <c r="L29" i="6"/>
  <c r="O61" i="6" l="1"/>
  <c r="N60" i="6"/>
  <c r="O60" i="6"/>
  <c r="M60" i="6"/>
  <c r="N61" i="6"/>
  <c r="M61" i="6"/>
  <c r="G83" i="6"/>
  <c r="I83" i="6" s="1"/>
  <c r="I82" i="6"/>
  <c r="H89" i="7"/>
  <c r="H78" i="7"/>
  <c r="H79" i="7" s="1"/>
  <c r="H80" i="7" s="1"/>
  <c r="H90" i="7"/>
  <c r="F23" i="6"/>
  <c r="F27" i="6"/>
  <c r="D63" i="6"/>
  <c r="F25" i="6"/>
  <c r="F22" i="6"/>
  <c r="F24" i="6"/>
  <c r="F28" i="6"/>
  <c r="F21" i="6"/>
  <c r="F20" i="6"/>
  <c r="F26" i="6"/>
  <c r="F34" i="6"/>
  <c r="F35" i="6"/>
  <c r="F33" i="6"/>
  <c r="L32" i="6"/>
  <c r="I72" i="6"/>
  <c r="L33" i="6"/>
  <c r="I66" i="6"/>
  <c r="I67" i="6" s="1"/>
  <c r="I99" i="6"/>
  <c r="I95" i="6"/>
  <c r="I90" i="6"/>
  <c r="I98" i="6"/>
  <c r="I93" i="6"/>
  <c r="I89" i="6"/>
  <c r="I97" i="6"/>
  <c r="I92" i="6"/>
  <c r="I96" i="6"/>
  <c r="I91" i="6"/>
  <c r="H60" i="6"/>
  <c r="M64" i="6" l="1"/>
  <c r="M63" i="6"/>
  <c r="M65" i="6"/>
  <c r="N63" i="6"/>
  <c r="N64" i="6"/>
  <c r="N65" i="6"/>
  <c r="O65" i="6"/>
  <c r="O64" i="6"/>
  <c r="O63" i="6"/>
  <c r="O67" i="6"/>
  <c r="O68" i="6"/>
  <c r="O69" i="6"/>
  <c r="M67" i="6"/>
  <c r="M68" i="6"/>
  <c r="M69" i="6"/>
  <c r="N67" i="6"/>
  <c r="N68" i="6"/>
  <c r="N69" i="6"/>
  <c r="L42" i="6"/>
  <c r="L59" i="6"/>
  <c r="H91" i="7"/>
  <c r="L57" i="6"/>
  <c r="L53" i="6"/>
  <c r="L49" i="6"/>
  <c r="L45" i="6"/>
  <c r="L56" i="6"/>
  <c r="L52" i="6"/>
  <c r="L48" i="6"/>
  <c r="L44" i="6"/>
  <c r="L55" i="6"/>
  <c r="L51" i="6"/>
  <c r="L47" i="6"/>
  <c r="L43" i="6"/>
  <c r="L58" i="6"/>
  <c r="L54" i="6"/>
  <c r="L50" i="6"/>
  <c r="L46" i="6"/>
  <c r="I94" i="6"/>
  <c r="H94" i="6" s="1"/>
  <c r="G73" i="6"/>
  <c r="D5" i="13" l="1"/>
  <c r="C5" i="6"/>
  <c r="C5" i="7"/>
  <c r="H81" i="7"/>
  <c r="C5" i="8"/>
  <c r="L60" i="6"/>
  <c r="L35" i="6" s="1"/>
  <c r="L37" i="6" s="1"/>
  <c r="L61" i="6"/>
  <c r="G75" i="6"/>
  <c r="I73" i="6"/>
  <c r="L65" i="6" l="1"/>
  <c r="L64" i="6"/>
  <c r="L63" i="6"/>
  <c r="L68" i="6"/>
  <c r="L69" i="6"/>
  <c r="L67" i="6"/>
  <c r="L36" i="6"/>
  <c r="G76" i="6"/>
  <c r="I75" i="6"/>
  <c r="D6" i="13" l="1"/>
  <c r="C6" i="8"/>
  <c r="C6" i="6"/>
  <c r="C6" i="7"/>
  <c r="I76" i="6"/>
  <c r="I85" i="6" s="1"/>
  <c r="I101" i="6" l="1"/>
  <c r="I100" i="6"/>
  <c r="E9" i="3"/>
  <c r="E11" i="3" s="1"/>
  <c r="E10" i="3"/>
  <c r="H3" i="3" l="1"/>
  <c r="I102" i="6"/>
  <c r="I104" i="6" s="1"/>
  <c r="C145" i="6" l="1"/>
  <c r="C151" i="6"/>
  <c r="G35" i="6"/>
  <c r="I109" i="6" l="1"/>
  <c r="F31" i="6"/>
  <c r="I117" i="6"/>
  <c r="E34" i="8" l="1"/>
  <c r="E36" i="8" s="1"/>
  <c r="I125" i="6"/>
  <c r="G3" i="13"/>
  <c r="G6" i="6"/>
  <c r="G3" i="6"/>
  <c r="G6" i="8"/>
  <c r="H3" i="7"/>
  <c r="G3" i="8"/>
  <c r="H6" i="7"/>
  <c r="G6" i="13"/>
  <c r="I112" i="6"/>
  <c r="I113" i="6" s="1"/>
  <c r="I119" i="6"/>
  <c r="I124" i="6" l="1"/>
  <c r="I126" i="6" s="1"/>
  <c r="D3" i="13"/>
  <c r="H4" i="7"/>
  <c r="G4" i="6"/>
  <c r="G4" i="8"/>
  <c r="G4" i="13"/>
  <c r="C3" i="8"/>
  <c r="C3" i="6"/>
  <c r="C3" i="7"/>
  <c r="I114" i="6"/>
  <c r="I121" i="6"/>
  <c r="D4" i="13" l="1"/>
  <c r="C4" i="7"/>
  <c r="C4" i="6"/>
  <c r="C4" i="8"/>
  <c r="G7" i="13"/>
  <c r="G7" i="8"/>
  <c r="H7" i="7"/>
  <c r="G7" i="6"/>
  <c r="I11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<sst xmlns="http://schemas.openxmlformats.org/spreadsheetml/2006/main" count="1120" uniqueCount="544">
  <si>
    <t>V. NOV 2024</t>
  </si>
  <si>
    <r>
      <rPr>
        <b/>
        <u/>
        <sz val="11"/>
        <color theme="1"/>
        <rFont val="Calibri"/>
        <family val="2"/>
        <scheme val="minor"/>
      </rPr>
      <t>Legal Disclaimer and Notice</t>
    </r>
    <r>
      <rPr>
        <sz val="11"/>
        <color theme="1"/>
        <rFont val="Calibri"/>
        <family val="2"/>
        <scheme val="minor"/>
      </rPr>
      <t xml:space="preserve">  - This Assessment Tool provided by CMHC is for general illustrative and estimation purposes only. The amounts it projects are based upon the information provided and the assumptions and estimates made by the model.  CMHC does not guarantee these projections. They are not intended to provide financial or other advice on particular housing projects and they should not be relied upon in that regard.  Neither CMHC nor any of its employees or advisors shall have any liability for the accuracy of the projections contained in the tool or for any damage caused by the use of the information.   The use of this Assessment Tool and its results with regard to any housing project do not oblige CMHC to insure the project financing nor provide funding for the housing project under this initiative or under any other CMHC program or initiative.  You are encouraged to contact your local CMHC Representative for assistance with this tool.</t>
    </r>
  </si>
  <si>
    <t>This Assessment Tool is protected by copyright and is subject to the protection of intellectual property laws. Users are authorized to download the Assessment Tool for its use in relation to CMHC Apartment Construction Loan Program only and may not further copy, reproduce, modify or distribute the Assessment Tool without the prior written consent of CMHC.</t>
  </si>
  <si>
    <t>SUMMARY</t>
  </si>
  <si>
    <t>Project DCR</t>
  </si>
  <si>
    <t>Project LTC</t>
  </si>
  <si>
    <t>Residential DCR</t>
  </si>
  <si>
    <t>Residential LTC</t>
  </si>
  <si>
    <t>Non-Residential DCR</t>
  </si>
  <si>
    <t>Non-Residential LTC</t>
  </si>
  <si>
    <t>Minimum Affordability Met?</t>
  </si>
  <si>
    <t>Total Loan Size</t>
  </si>
  <si>
    <t>Social Outcome Score</t>
  </si>
  <si>
    <t>Additional Equity Required</t>
  </si>
  <si>
    <t>Lending Flexibility Score</t>
  </si>
  <si>
    <t>Total Project Budget Costs</t>
  </si>
  <si>
    <t>1. Project budget</t>
  </si>
  <si>
    <t>Total Project Costs</t>
  </si>
  <si>
    <t>Land Market Value</t>
  </si>
  <si>
    <t>Hard costs</t>
  </si>
  <si>
    <t>Soft costs</t>
  </si>
  <si>
    <t>Financing costs</t>
  </si>
  <si>
    <t xml:space="preserve">HST </t>
  </si>
  <si>
    <t>Misc and Buffer</t>
  </si>
  <si>
    <t>Other (describe)</t>
  </si>
  <si>
    <t>Total Budget (Uses)</t>
  </si>
  <si>
    <t>Other Sources of Funding</t>
  </si>
  <si>
    <t>Owner cash equity 
(Cell I127 in 'Residential New' Tab) + Cell G92 in 'Non Residential' Tab)</t>
  </si>
  <si>
    <t>Land Value Equity
(Land Market Value - Land Acquisition Cost)</t>
  </si>
  <si>
    <t>Other Financing (describe )</t>
  </si>
  <si>
    <t>Other Financing(describe )</t>
  </si>
  <si>
    <t>Total Other Sources</t>
  </si>
  <si>
    <t>Loan Financing</t>
  </si>
  <si>
    <t>Total Sources</t>
  </si>
  <si>
    <t>Total Loan</t>
  </si>
  <si>
    <t>Residential New: Financial Viability Assessment</t>
  </si>
  <si>
    <t xml:space="preserve">Percentage of Project Costs of Residential </t>
  </si>
  <si>
    <t>Is the Project Senior Independent Living?</t>
  </si>
  <si>
    <t>No</t>
  </si>
  <si>
    <t>Per Unit</t>
  </si>
  <si>
    <t>New Rental</t>
  </si>
  <si>
    <t>Land market value</t>
  </si>
  <si>
    <t>Test 1</t>
  </si>
  <si>
    <t>20% of Units Affordable at 30% of Median Total Income</t>
  </si>
  <si>
    <t>Median Total Income CMA-StatCan *</t>
  </si>
  <si>
    <t>30% of Median Total Income</t>
  </si>
  <si>
    <t>Sources of Funding</t>
  </si>
  <si>
    <t>* Median total income, All Families</t>
  </si>
  <si>
    <t>Owner Cash Equity</t>
  </si>
  <si>
    <t>https://www150.statcan.gc.ca/t1/tbl1/en/tv.action?pid=1110000901</t>
  </si>
  <si>
    <t>Land Value Equity</t>
  </si>
  <si>
    <t>Min # units (rounded)</t>
  </si>
  <si>
    <t xml:space="preserve">Max Rent for Test </t>
  </si>
  <si>
    <t xml:space="preserve">Units meeting Test </t>
  </si>
  <si>
    <t>% Units that meet  Test</t>
  </si>
  <si>
    <t>20% Condition met?</t>
  </si>
  <si>
    <t>MONTHLY</t>
  </si>
  <si>
    <t>Proforma Rents</t>
  </si>
  <si>
    <t>Annual Potential Gross Income</t>
  </si>
  <si>
    <t xml:space="preserve">New Rental Annual Proforma </t>
  </si>
  <si>
    <t>Affordable units based on percentage of Median Total Income</t>
  </si>
  <si>
    <t>2. Income Analysis- Residential</t>
  </si>
  <si>
    <t>Number</t>
  </si>
  <si>
    <t xml:space="preserve">Market </t>
  </si>
  <si>
    <t>Discounted Rent</t>
  </si>
  <si>
    <t xml:space="preserve">% </t>
  </si>
  <si>
    <t>Unit type</t>
  </si>
  <si>
    <t>Size (sf)</t>
  </si>
  <si>
    <t>Units</t>
  </si>
  <si>
    <t>Rent(PGI)</t>
  </si>
  <si>
    <t>as % of Market</t>
  </si>
  <si>
    <t>Max Rent</t>
  </si>
  <si>
    <t>bachelor-market</t>
  </si>
  <si>
    <t>bachelor- discounted</t>
  </si>
  <si>
    <t>1 bed- market</t>
  </si>
  <si>
    <t>1 bed- discounted</t>
  </si>
  <si>
    <t>1 bed+den- market</t>
  </si>
  <si>
    <t>1 bed+den- discounted</t>
  </si>
  <si>
    <t>2 bed-market</t>
  </si>
  <si>
    <t>2 bed - discounted</t>
  </si>
  <si>
    <t>2 bed+den- market</t>
  </si>
  <si>
    <t>2 bed+den- discounted</t>
  </si>
  <si>
    <t>3 bed- market</t>
  </si>
  <si>
    <t>3 bed- discounted</t>
  </si>
  <si>
    <t>3 bed+den- market</t>
  </si>
  <si>
    <t>3 bed+den- discounted</t>
  </si>
  <si>
    <t>4 bed- market</t>
  </si>
  <si>
    <t>4 bed- discounted</t>
  </si>
  <si>
    <t>Other</t>
  </si>
  <si>
    <t>Total Residential</t>
  </si>
  <si>
    <t># Affordable</t>
  </si>
  <si>
    <t>% of Area</t>
  </si>
  <si>
    <t>% Affordable</t>
  </si>
  <si>
    <t>Discounted #</t>
  </si>
  <si>
    <t>Prioritization Grid Affordability Score (based on proforma depth &amp; breadth)*</t>
  </si>
  <si>
    <t>Market #</t>
  </si>
  <si>
    <t>10+ years</t>
  </si>
  <si>
    <t>15-19 years</t>
  </si>
  <si>
    <t>Vacancy rate /bad debt (%)</t>
  </si>
  <si>
    <t xml:space="preserve">Vacancy rate / bad debt (cannot be zero)  </t>
  </si>
  <si>
    <t>20+ years</t>
  </si>
  <si>
    <t>Less: Vacancy rate /bad debt</t>
  </si>
  <si>
    <t>Lending Flexibility  Affordability Score (based on proforma depth &amp; breadth)*</t>
  </si>
  <si>
    <t>Effective Gross Income</t>
  </si>
  <si>
    <t>ANNUAL</t>
  </si>
  <si>
    <t>3. Ancillary Income</t>
  </si>
  <si>
    <t># Units</t>
  </si>
  <si>
    <t>Rent</t>
  </si>
  <si>
    <t>Parking</t>
  </si>
  <si>
    <t>*Highest potential score is highlighted in green.</t>
  </si>
  <si>
    <t>Storage lockers</t>
  </si>
  <si>
    <t>Laundry</t>
  </si>
  <si>
    <t>Total</t>
  </si>
  <si>
    <t>4. Other income</t>
  </si>
  <si>
    <t>Other Income (Describe)</t>
  </si>
  <si>
    <t>Total Effective Gross Income (EGI)</t>
  </si>
  <si>
    <t>5. Operating Costs</t>
  </si>
  <si>
    <t>Per Unit/Yr</t>
  </si>
  <si>
    <t>Municipal Taxes</t>
  </si>
  <si>
    <t>Insurance</t>
  </si>
  <si>
    <t>Heat</t>
  </si>
  <si>
    <t>Hydro</t>
  </si>
  <si>
    <t>Water</t>
  </si>
  <si>
    <t>Total Utilities</t>
  </si>
  <si>
    <t>Repair and Maintenance</t>
  </si>
  <si>
    <t>Wages- Super</t>
  </si>
  <si>
    <t>Management Fee (% of EGI)</t>
  </si>
  <si>
    <t>General and Admin (% of EGI)</t>
  </si>
  <si>
    <t>Total Operating Costs</t>
  </si>
  <si>
    <t>Net Operating Income</t>
  </si>
  <si>
    <t>6. Loan Debt Coverage Ratio (DCR) and Loan to Cost (LTC) Calculation</t>
  </si>
  <si>
    <t>Loan</t>
  </si>
  <si>
    <t>Interest Rate (+ 100 bps)</t>
  </si>
  <si>
    <t xml:space="preserve">Contact CMHC for the Appropriate Indicative Interest Rate)  </t>
  </si>
  <si>
    <t>Loan Amortization ( years)</t>
  </si>
  <si>
    <t>Mortgage Payment (monthly) P+I</t>
  </si>
  <si>
    <t>Mortgage Payment (annually) P+I</t>
  </si>
  <si>
    <t>Debt Coverage Ratio (DCR)</t>
  </si>
  <si>
    <t>Minimum Eligible DCR</t>
  </si>
  <si>
    <t>Test 2- Minimum Residential DCR of 1.1 achieved?</t>
  </si>
  <si>
    <t>Project Cost</t>
  </si>
  <si>
    <t>Loan to Cost (LTC)</t>
  </si>
  <si>
    <t>Max LTC</t>
  </si>
  <si>
    <t>Test 3- Residential Loan to Cost is Within Limits?</t>
  </si>
  <si>
    <t>7. Required Equity Injection</t>
  </si>
  <si>
    <t>Calculated Required Owners Equity to Meet Max LTC</t>
  </si>
  <si>
    <t>Calculated Required Owners Equity to Meet Min DCR</t>
  </si>
  <si>
    <t>Calculated Required Owners Equity (Higher Amount)</t>
  </si>
  <si>
    <t>Enter this amount in cell I127</t>
  </si>
  <si>
    <t>Actual Additional Owners Equity</t>
  </si>
  <si>
    <t>Calculated Required Additional Owners Equity to Meet Min DCR of 1.1</t>
  </si>
  <si>
    <t>Required Monthly Payment (P&amp;I)</t>
  </si>
  <si>
    <t>Yes</t>
  </si>
  <si>
    <t>Monthly Interest Rate (%)</t>
  </si>
  <si>
    <t>Number of Periods (Months)</t>
  </si>
  <si>
    <t>Required Loan Amount</t>
  </si>
  <si>
    <t>Calculated Required Additional Owners Equity to Meet Min DCR of 1.2</t>
  </si>
  <si>
    <t>Non-Residential : Financial Viability Assessment</t>
  </si>
  <si>
    <t>(Non-Residential portion of project costs cannot exceed 30% of project costs)</t>
  </si>
  <si>
    <t xml:space="preserve">Percentage of Project Costs for Non-Residential </t>
  </si>
  <si>
    <t>Is the portion for non-residential costs under the limit?</t>
  </si>
  <si>
    <t>Test 2</t>
  </si>
  <si>
    <t>Residential and Non-Residential must amount to 100% of project costs</t>
  </si>
  <si>
    <t>Does the total % amount to 100%?</t>
  </si>
  <si>
    <t>Test 3</t>
  </si>
  <si>
    <t>Non-Residential portion of floor space cannot exceed 30% of project costs</t>
  </si>
  <si>
    <t xml:space="preserve">Percentage of Project Floor Space for Non-Residential </t>
  </si>
  <si>
    <t>Is the % of project floor space under the limit?</t>
  </si>
  <si>
    <t>Non-Residential</t>
  </si>
  <si>
    <t>2. Non-Residential/Commercial</t>
  </si>
  <si>
    <t>Retail/Office 1</t>
  </si>
  <si>
    <t>Retail/Office 2</t>
  </si>
  <si>
    <t>Retail/Office 3</t>
  </si>
  <si>
    <t>Retail/Office 4</t>
  </si>
  <si>
    <t>Add: Recoveries</t>
  </si>
  <si>
    <t>Vacancy rate /bad debt</t>
  </si>
  <si>
    <t>Less: Vacancy /bad debt</t>
  </si>
  <si>
    <t>3. Annual Operating Costs</t>
  </si>
  <si>
    <t>Management Fee (%)</t>
  </si>
  <si>
    <t>General and Admin (%)</t>
  </si>
  <si>
    <t>4. Loan Debt Coverage Ratio (DCR) and Loan to Cost (LTC) Calculation</t>
  </si>
  <si>
    <t>Interest Rate</t>
  </si>
  <si>
    <t xml:space="preserve">Minimum Eligible DCR of 1.4  </t>
  </si>
  <si>
    <t>Test 4 - Minimum Non-Residential DCR of 1.4 achieved?</t>
  </si>
  <si>
    <t>Non-Residential Loan-to-Cost (LTC)</t>
  </si>
  <si>
    <t xml:space="preserve">Max 75% Non-Res LTC  </t>
  </si>
  <si>
    <t>Test 5 - Non-Residential Loan to Cost is Within Limits (75%)</t>
  </si>
  <si>
    <t>5. Required Equity Injection</t>
  </si>
  <si>
    <t>Calculated Required Additional Owners Equity to Meet Max LTC</t>
  </si>
  <si>
    <t>Calculated Required Additional Owners Equity to Meet Min DCR</t>
  </si>
  <si>
    <t>Actual Required Additional Owners Equity (Higher Amount)</t>
  </si>
  <si>
    <t>Enter this amount in cell G92</t>
  </si>
  <si>
    <t>Actual Required Additional Owners Equity</t>
  </si>
  <si>
    <t>Prioritization Scoring</t>
  </si>
  <si>
    <t>Option Set</t>
  </si>
  <si>
    <t>Answer</t>
  </si>
  <si>
    <t>Score</t>
  </si>
  <si>
    <t>Project location</t>
  </si>
  <si>
    <t>Please select if your property is located in an urban (within a CMA/CA) or rural area (outside CMA/CA). If rural, the Community Oriented category will not count towards your score, and your score will be normalized.</t>
  </si>
  <si>
    <t>Rural
Urban</t>
  </si>
  <si>
    <t>Urban</t>
  </si>
  <si>
    <t>Affordability</t>
  </si>
  <si>
    <t>Is your application qualifying under Affordability Criteria A or B?</t>
  </si>
  <si>
    <t>Criteria A
Criteria B</t>
  </si>
  <si>
    <t>Criteria A</t>
  </si>
  <si>
    <t>See the 'Affordability Score (Reference)' tab for scoring details.</t>
  </si>
  <si>
    <t>Affordability - duration</t>
  </si>
  <si>
    <t>10 years and up to 14 years (Minimum Eligibility Requirement)</t>
  </si>
  <si>
    <t xml:space="preserve"> </t>
  </si>
  <si>
    <t>15 years and up to 19 years</t>
  </si>
  <si>
    <t>20 years or more</t>
  </si>
  <si>
    <t>Affordability – depth*</t>
  </si>
  <si>
    <t>Rents at 30% of median income (Minimum Eligibility Requirement)</t>
  </si>
  <si>
    <t>Rents at 25% of median income</t>
  </si>
  <si>
    <t>Rents at 20% of median income</t>
  </si>
  <si>
    <t>Rents at 15% of median income</t>
  </si>
  <si>
    <t>*All affordable units (depth) must meet the selected breadth.</t>
  </si>
  <si>
    <t>Affordability – breadth</t>
  </si>
  <si>
    <t>20% of total units (Minimum Eligibility Requirement)</t>
  </si>
  <si>
    <t>25% of total units</t>
  </si>
  <si>
    <t>30% of total units</t>
  </si>
  <si>
    <t>Affordability criteria score</t>
  </si>
  <si>
    <t xml:space="preserve">Accessibility </t>
  </si>
  <si>
    <t>Project buildings with accessibility commitments must be 100% visitable and all common areas within the building must be barrier free.</t>
  </si>
  <si>
    <t>Project meets local accessibility standards as prescribed by the Municipality or Province/Territory.</t>
  </si>
  <si>
    <t>Min. 15% of the units are considered accessible in accordance with the CSA standard B651:23/B652:23</t>
  </si>
  <si>
    <t>Min. 15% of units are universal design</t>
  </si>
  <si>
    <t>Level of accessibility</t>
  </si>
  <si>
    <t>The building receives Rick Hansen Foundation Accessibility Certification (60%-79% score)</t>
  </si>
  <si>
    <t>Min. 15% of units are considered accessible in accordance with the CSA standard B651:23/B652:23 and Min. 85% of units are universal design</t>
  </si>
  <si>
    <t>100% of units are universal design</t>
  </si>
  <si>
    <t>100% of units are accessible in accordance with the CSA standard B651:23/B652:23</t>
  </si>
  <si>
    <t>The building receives Rick Hansen Foundation Accessibility Certification "Gold" (score of 80% or better)</t>
  </si>
  <si>
    <t>Adaptable units</t>
  </si>
  <si>
    <t>Project contains a minimum of 2 adaptable units, in addition to minimum 10% of unit accessible requirement.</t>
  </si>
  <si>
    <t>0= No
2= Yes</t>
  </si>
  <si>
    <t>Universal design units</t>
  </si>
  <si>
    <t>Project contains a minimum of 2 units with universal design, in addition to minimum 10% of unit accessible requirement.</t>
  </si>
  <si>
    <t>Energy Efficiency - Greenhouse Gas</t>
  </si>
  <si>
    <t>All buildings under Part 3 of the National Building code will reference the 2020 NECB. Low-rise multiple buildings under Part 9 of the National Building code will reference the 2020 NBC. Please refer to the ACLP website to confirm the year of the reference codes to use.</t>
  </si>
  <si>
    <t>Part 3 = NECB
Part 9 = NBC</t>
  </si>
  <si>
    <t>NECB</t>
  </si>
  <si>
    <t>Tier 1 of the NECB</t>
  </si>
  <si>
    <t>Tier 2 of the NECB</t>
  </si>
  <si>
    <t>Tier 3 of the NECB</t>
  </si>
  <si>
    <t>Tier 4 of the NECB</t>
  </si>
  <si>
    <t>Level of reduction</t>
  </si>
  <si>
    <t>Tier 1 of the NBC</t>
  </si>
  <si>
    <t>Tier 2 of the NBC</t>
  </si>
  <si>
    <t>Tier 3 of the NBC</t>
  </si>
  <si>
    <t>Tier 4 of the NBC</t>
  </si>
  <si>
    <t>Tier 5 of the NBC</t>
  </si>
  <si>
    <t>Fostered Collaboration</t>
  </si>
  <si>
    <t>Other Government Supports:</t>
  </si>
  <si>
    <t>• Grants</t>
  </si>
  <si>
    <t xml:space="preserve">0 = no support
3 = 1 or 2 supports
6 = 3 or more supports
</t>
  </si>
  <si>
    <t>(Federal / Provincial / Territorial / Municipal)</t>
  </si>
  <si>
    <t>• Concessions on property taxes</t>
  </si>
  <si>
    <t>• Concessions on levies</t>
  </si>
  <si>
    <t>• Waiver of development cost charges or other provincial/municipal fees</t>
  </si>
  <si>
    <t xml:space="preserve">• Expedited Approvals </t>
  </si>
  <si>
    <t>• Waiver of community amenity contributions</t>
  </si>
  <si>
    <t>• Other</t>
  </si>
  <si>
    <t>Land donation</t>
  </si>
  <si>
    <t>Was the land donated or leased at a nominal value by a non-related party?</t>
  </si>
  <si>
    <t>0= No
4= Yes</t>
  </si>
  <si>
    <t>Community Oriented</t>
  </si>
  <si>
    <t>Proximity to public transit</t>
  </si>
  <si>
    <t>Within 1 km of a public transit station such as a bus, train, rapid transit, or subway station</t>
  </si>
  <si>
    <t>0= No
5= Yes</t>
  </si>
  <si>
    <t>Altenative forms of public transit</t>
  </si>
  <si>
    <t>Project offers access to alternative forms of public transit (parking spots for car sharing service, shuttle bus service, direct connection to underground path system, etc.)</t>
  </si>
  <si>
    <t>Childcare Centre</t>
  </si>
  <si>
    <t>Is the project within 1.5 km of a childcare centre?</t>
  </si>
  <si>
    <t>Priority Group</t>
  </si>
  <si>
    <t>Is the project(s) considered purpose-built seniors housing (independent living)? OR
Will a minimum of 35% of the project(s) units be considered family units (units with two or more bedrooms)?</t>
  </si>
  <si>
    <t>0= No
8= Yes</t>
  </si>
  <si>
    <t>Your Total Score</t>
  </si>
  <si>
    <t>Lending Flexibility Scoring</t>
  </si>
  <si>
    <t>Market Adjustment</t>
  </si>
  <si>
    <t>Please select the market where your project is located.</t>
  </si>
  <si>
    <t>Windsor, ON</t>
  </si>
  <si>
    <t>Market Type</t>
  </si>
  <si>
    <t>Market Adjustment Score</t>
  </si>
  <si>
    <t>ACLP application: Affordability Criteria A or B?</t>
  </si>
  <si>
    <t>Duration</t>
  </si>
  <si>
    <t>Depth</t>
  </si>
  <si>
    <t>Breadth</t>
  </si>
  <si>
    <t>Building Code</t>
  </si>
  <si>
    <t>Tier of the National Model Codes the project(s) will achieve.</t>
  </si>
  <si>
    <t>EE. - GHG score</t>
  </si>
  <si>
    <t>Total Lending Flexibility Score</t>
  </si>
  <si>
    <t>Lending Flexibility Tier</t>
  </si>
  <si>
    <t>Maximum Loan to Cost</t>
  </si>
  <si>
    <t>Maximum Amortization</t>
  </si>
  <si>
    <t>Allowable Funding Term</t>
  </si>
  <si>
    <t>Other Terms</t>
  </si>
  <si>
    <t>Lending Flexibility Scorecard</t>
  </si>
  <si>
    <t>Tier</t>
  </si>
  <si>
    <t>Eligible Res Loan-to-Cost (LTC)</t>
  </si>
  <si>
    <t>Min</t>
  </si>
  <si>
    <t>Max</t>
  </si>
  <si>
    <t>Tier 3 - Up to 90% LTC, 45 yrs Am, 10 yr term</t>
  </si>
  <si>
    <t>Tier 2 - Up to 95% LTC, 50 yrs Am, 10 yr term</t>
  </si>
  <si>
    <t>Tier 1 - Up to 100% LTC, 50 yr Am, 10 or 20 yr term, Fund Land Equity</t>
  </si>
  <si>
    <t>Rural</t>
  </si>
  <si>
    <t>Part 9 - NBC</t>
  </si>
  <si>
    <t>Criteria B</t>
  </si>
  <si>
    <t>Part 3 - NECB</t>
  </si>
  <si>
    <t>NBC</t>
  </si>
  <si>
    <t>Prioritization Grid - Affordability</t>
  </si>
  <si>
    <t>Affordability period of 10 years</t>
  </si>
  <si>
    <t>30% median total income</t>
  </si>
  <si>
    <t>25% median total income</t>
  </si>
  <si>
    <t>20% median total income</t>
  </si>
  <si>
    <t>15% median total income</t>
  </si>
  <si>
    <t>Min Points</t>
  </si>
  <si>
    <t>20% of Units</t>
  </si>
  <si>
    <t>Standard / Seniors Only</t>
  </si>
  <si>
    <t>25% of Units</t>
  </si>
  <si>
    <t>30% of Units</t>
  </si>
  <si>
    <t>Affordability period of 15 years</t>
  </si>
  <si>
    <t>Affordability period of 20+ years</t>
  </si>
  <si>
    <t>Lending Flexibility Scorecard- Affordability</t>
  </si>
  <si>
    <t>Affordability period of 20 years +</t>
  </si>
  <si>
    <t>Scorecard - Energy Efficiency</t>
  </si>
  <si>
    <t>2020 NECB Step Code (Part 3)</t>
  </si>
  <si>
    <t>Tier 1 - Baseline</t>
  </si>
  <si>
    <t>Tier 2 - 25% Improvement over Tier 1</t>
  </si>
  <si>
    <t>Tier 3 - 50% Improvement over Tier 1</t>
  </si>
  <si>
    <t>Tier 4 - 60% Improvement over Tier 1</t>
  </si>
  <si>
    <t>2020 NBC Step Code (Part 9)</t>
  </si>
  <si>
    <t>Tier 1 - Minimum Code</t>
  </si>
  <si>
    <t>Tier 2 - 10% more efficient</t>
  </si>
  <si>
    <t>Tier 3 - 20% more efficient</t>
  </si>
  <si>
    <t>Tier 4 - 40% more efficient</t>
  </si>
  <si>
    <t>Tier 5 - 70% more efficient</t>
  </si>
  <si>
    <t>Scorecard- Energy Efficiency</t>
  </si>
  <si>
    <t>Scorecard- Market Adjusment</t>
  </si>
  <si>
    <t>Market Type 1</t>
  </si>
  <si>
    <t>Market Type 2</t>
  </si>
  <si>
    <t>Market Type 3</t>
  </si>
  <si>
    <t>Tier 2 - Minimum Code</t>
  </si>
  <si>
    <t>Tier 3 - Minimum Code</t>
  </si>
  <si>
    <t>Tier 4 - Minimum Code</t>
  </si>
  <si>
    <t>Tier 5 - Minimum Code</t>
  </si>
  <si>
    <t>Geography</t>
  </si>
  <si>
    <t>Market</t>
  </si>
  <si>
    <t>Province</t>
  </si>
  <si>
    <t>Abbotsford-Mission, BC</t>
  </si>
  <si>
    <t>British Columbia</t>
  </si>
  <si>
    <t>Alma, QC</t>
  </si>
  <si>
    <t>Quebec</t>
  </si>
  <si>
    <t>Amos, QC</t>
  </si>
  <si>
    <t>Baie-Comeau, QC</t>
  </si>
  <si>
    <t>Barrie, ON</t>
  </si>
  <si>
    <t>Ontario</t>
  </si>
  <si>
    <t>Bathurst, NB</t>
  </si>
  <si>
    <t>New Brunswick</t>
  </si>
  <si>
    <t>Belleville-Quinte West, ON</t>
  </si>
  <si>
    <t>Brandon, MB</t>
  </si>
  <si>
    <t>Manitoba</t>
  </si>
  <si>
    <t>Brantford, ON</t>
  </si>
  <si>
    <t>Brockville, ON</t>
  </si>
  <si>
    <t>Brooks, AB</t>
  </si>
  <si>
    <t>Alberta</t>
  </si>
  <si>
    <t>Calgary, AB</t>
  </si>
  <si>
    <t>Campbell River, BC</t>
  </si>
  <si>
    <t>Campbellton, QC</t>
  </si>
  <si>
    <t>Campbellton, NB</t>
  </si>
  <si>
    <t>Camrose, AB</t>
  </si>
  <si>
    <t>Canmore, AB</t>
  </si>
  <si>
    <t>Cape Breton, NS</t>
  </si>
  <si>
    <t>Nova Scotia</t>
  </si>
  <si>
    <t>Centre Wellington, ON</t>
  </si>
  <si>
    <t>Charlottetown, PEI</t>
  </si>
  <si>
    <t>Prince Edward Island</t>
  </si>
  <si>
    <t>Chatham-Kent, ON</t>
  </si>
  <si>
    <t>Chilliwack, BC</t>
  </si>
  <si>
    <t>Cobourg, ON</t>
  </si>
  <si>
    <t>Collingwood, ON</t>
  </si>
  <si>
    <t>Corner Brook, NL</t>
  </si>
  <si>
    <t>Newfoundland and Labrador</t>
  </si>
  <si>
    <t>Cornwall, ON</t>
  </si>
  <si>
    <t>Courtenay, BC</t>
  </si>
  <si>
    <t>Cowansville, QC</t>
  </si>
  <si>
    <t>Cranbrook, BC</t>
  </si>
  <si>
    <t>Dawson Creek, BC</t>
  </si>
  <si>
    <t>Dolbeau-Mistassini, QC</t>
  </si>
  <si>
    <t>Drummondville, QC</t>
  </si>
  <si>
    <t>Duncan, BC</t>
  </si>
  <si>
    <t>Edmonton, AB</t>
  </si>
  <si>
    <t>Edmundston, NB</t>
  </si>
  <si>
    <t>Elliot Lake, ON</t>
  </si>
  <si>
    <t>Essa, ON</t>
  </si>
  <si>
    <t>Estevan, SK</t>
  </si>
  <si>
    <t>Saskatchewan</t>
  </si>
  <si>
    <t>Fort St. John, BC</t>
  </si>
  <si>
    <t>Fredericton, NB</t>
  </si>
  <si>
    <t>Gander, NL</t>
  </si>
  <si>
    <t>Gatineau, QC</t>
  </si>
  <si>
    <t>Granby, QC</t>
  </si>
  <si>
    <t>Grand Falls-Windsor, NL</t>
  </si>
  <si>
    <t>Grande Prairie, AB</t>
  </si>
  <si>
    <t>Guelph, ON</t>
  </si>
  <si>
    <t>Halifax, NS</t>
  </si>
  <si>
    <t>Hamilton, ON</t>
  </si>
  <si>
    <t>Hawkesbury, ON</t>
  </si>
  <si>
    <t>Hawkesbury, QC</t>
  </si>
  <si>
    <t>High River, AB</t>
  </si>
  <si>
    <t>Ingersoll, ON</t>
  </si>
  <si>
    <t>Joliette, QC</t>
  </si>
  <si>
    <t>Kamloops, BC</t>
  </si>
  <si>
    <t>Kawartha Lakes, ON</t>
  </si>
  <si>
    <t>Kelowna, BC</t>
  </si>
  <si>
    <t>Kenora, ON</t>
  </si>
  <si>
    <t>Kentville, NS</t>
  </si>
  <si>
    <t>Kingston, ON</t>
  </si>
  <si>
    <t>Kitchener - Cambridge - Waterloo, ON</t>
  </si>
  <si>
    <t>Lachute, QC</t>
  </si>
  <si>
    <t>Lacombe, AB</t>
  </si>
  <si>
    <t>Ladysmith, BC</t>
  </si>
  <si>
    <t>Lethbridge, AB</t>
  </si>
  <si>
    <t>Lloydminster, AB</t>
  </si>
  <si>
    <t>Lloydminster, SK</t>
  </si>
  <si>
    <t>London, ON</t>
  </si>
  <si>
    <t>Matane, QC</t>
  </si>
  <si>
    <t>Medicine Hat, AB</t>
  </si>
  <si>
    <t>Midland, ON</t>
  </si>
  <si>
    <t>Miramichi, NB</t>
  </si>
  <si>
    <t>Moncton, NB</t>
  </si>
  <si>
    <t>Montréal, QC</t>
  </si>
  <si>
    <t>Moose Jaw, SK</t>
  </si>
  <si>
    <t>Nanaimo, BC</t>
  </si>
  <si>
    <t>Nelson, BC</t>
  </si>
  <si>
    <t>New Glasgow, NS</t>
  </si>
  <si>
    <t>Non CMA/CA - AB</t>
  </si>
  <si>
    <t>Non CMA/CA - BC</t>
  </si>
  <si>
    <t>Non CMA/CA - MB</t>
  </si>
  <si>
    <t>Non CMA/CA - NB</t>
  </si>
  <si>
    <t>Non CMA/CA - NFLD</t>
  </si>
  <si>
    <t>Non CMA/CA - NS</t>
  </si>
  <si>
    <t>Non CMA/CA - NT</t>
  </si>
  <si>
    <t>Northwest Territories</t>
  </si>
  <si>
    <t>Non CMA/CA - ON</t>
  </si>
  <si>
    <t>Non CMA/CA - PEI</t>
  </si>
  <si>
    <t>Non CMA/CA - QC</t>
  </si>
  <si>
    <t>Non CMA/CA - SK</t>
  </si>
  <si>
    <t>Norfolk, ON</t>
  </si>
  <si>
    <t>North Battleford, SK</t>
  </si>
  <si>
    <t>North Bay, ON</t>
  </si>
  <si>
    <t>Okotoks, AB</t>
  </si>
  <si>
    <t>Orillia, ON</t>
  </si>
  <si>
    <t>Oshawa, ON</t>
  </si>
  <si>
    <t>Ottawa, ON</t>
  </si>
  <si>
    <t>Owen Sound, ON</t>
  </si>
  <si>
    <t>Parksville, BC</t>
  </si>
  <si>
    <t>Pembroke, ON</t>
  </si>
  <si>
    <t>Penticton, BC</t>
  </si>
  <si>
    <t>Petawawa, ON</t>
  </si>
  <si>
    <t>Peterborough, ON</t>
  </si>
  <si>
    <t>Port Alberni, BC</t>
  </si>
  <si>
    <t>Port Hope, ON</t>
  </si>
  <si>
    <t>Portage la Prairie, MB</t>
  </si>
  <si>
    <t>Powell River, BC</t>
  </si>
  <si>
    <t>Prince Albert, SK</t>
  </si>
  <si>
    <t>Prince George, BC</t>
  </si>
  <si>
    <t>Prince Rupert, BC</t>
  </si>
  <si>
    <t>Québec, QC</t>
  </si>
  <si>
    <t>Quesnel, BC</t>
  </si>
  <si>
    <t>Red Deer, AB</t>
  </si>
  <si>
    <t>Regina, SK</t>
  </si>
  <si>
    <t>Rimouski, QC</t>
  </si>
  <si>
    <t>Rivière-du-loup, QC</t>
  </si>
  <si>
    <t>Rouyn-Noranda, QC</t>
  </si>
  <si>
    <t>Saguenay, QC</t>
  </si>
  <si>
    <t>Saint John, NB</t>
  </si>
  <si>
    <t>Sainte-Agathe-des-Monts, QC</t>
  </si>
  <si>
    <t>Sainte-Marie, QC</t>
  </si>
  <si>
    <t>Saint-Georges, QC</t>
  </si>
  <si>
    <t>Saint-Hyacinthe, QC</t>
  </si>
  <si>
    <t>Salaberry-de-Valleyfield, QC</t>
  </si>
  <si>
    <t>Salmon Arm, BC</t>
  </si>
  <si>
    <t>Sarnia, ON</t>
  </si>
  <si>
    <t>Saskatoon, SK</t>
  </si>
  <si>
    <t>Sault Ste. Marie, ON</t>
  </si>
  <si>
    <t>Sept-Îles, QC</t>
  </si>
  <si>
    <t>Shawinigan, QC</t>
  </si>
  <si>
    <t>Sherbrooke, QC</t>
  </si>
  <si>
    <t>Sorel-Tracy, QC</t>
  </si>
  <si>
    <t>Squamish, BC</t>
  </si>
  <si>
    <t>St. Catharines - Niagara, ON</t>
  </si>
  <si>
    <t>St. John's, NFLD</t>
  </si>
  <si>
    <t>Steinbach, MB</t>
  </si>
  <si>
    <t>Stratford, ON</t>
  </si>
  <si>
    <t>Strathmore, AB</t>
  </si>
  <si>
    <t>Summerside, PEI</t>
  </si>
  <si>
    <t>Swift Current, SK</t>
  </si>
  <si>
    <t>Sylvan Lake, AB</t>
  </si>
  <si>
    <t>Terrace, BC</t>
  </si>
  <si>
    <t>Thetford Mines, QC</t>
  </si>
  <si>
    <t>Thompson, MB</t>
  </si>
  <si>
    <t>Thunder Bay, ON</t>
  </si>
  <si>
    <t>Tillsonburg, ON</t>
  </si>
  <si>
    <t>Timmins, ON</t>
  </si>
  <si>
    <t>Toronto, ON</t>
  </si>
  <si>
    <t>Trail, BC</t>
  </si>
  <si>
    <t>Trois-Rivières, QC</t>
  </si>
  <si>
    <t>Truro, NS</t>
  </si>
  <si>
    <t>Val-d'Or, QC</t>
  </si>
  <si>
    <t>Vancouver, BC</t>
  </si>
  <si>
    <t>Vernon, BC</t>
  </si>
  <si>
    <t>Victoria, BC</t>
  </si>
  <si>
    <t>Victoriaville, QC</t>
  </si>
  <si>
    <t>Wasaga Beach, ON</t>
  </si>
  <si>
    <t>Wetaskiwin, AB</t>
  </si>
  <si>
    <t>Weyburn, SK</t>
  </si>
  <si>
    <t>Whitehorse, YT</t>
  </si>
  <si>
    <t>Yukon</t>
  </si>
  <si>
    <t>Williams Lake, BC</t>
  </si>
  <si>
    <t>Winkler, MB</t>
  </si>
  <si>
    <t>Winnipeg, MB</t>
  </si>
  <si>
    <t>Wood Buffalo, AB</t>
  </si>
  <si>
    <t>Woodstock, ON</t>
  </si>
  <si>
    <t>Yellowknife, NT</t>
  </si>
  <si>
    <t>Yorkton, SK</t>
  </si>
  <si>
    <t>Mortgage  Calculator</t>
  </si>
  <si>
    <t>Principal</t>
  </si>
  <si>
    <t>Total of All Payments:</t>
  </si>
  <si>
    <t>over term</t>
  </si>
  <si>
    <t>Interest</t>
  </si>
  <si>
    <t>Comp Frequency</t>
  </si>
  <si>
    <t>(2=Semi Annul, 4=Quarterly, 12=Monthly)</t>
  </si>
  <si>
    <t>Payment Freq</t>
  </si>
  <si>
    <t>(Number of Payments a year)</t>
  </si>
  <si>
    <t>Term</t>
  </si>
  <si>
    <t>(years)</t>
  </si>
  <si>
    <t>Amortization</t>
  </si>
  <si>
    <t>Calculated Pmt</t>
  </si>
  <si>
    <t>Overide:</t>
  </si>
  <si>
    <t>Interest Factor</t>
  </si>
  <si>
    <t>(Use to override the Calulated Payment)</t>
  </si>
  <si>
    <t>Pmts Per Year</t>
  </si>
  <si>
    <t>Greater Sudbury,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</si>
</sst>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quot;$&quot;#,##0"/>
    <numFmt numFmtId="7" formatCode="&quot;$&quot;#,##0.00;\-&quot;$&quot;#,##0.00"/>
    <numFmt numFmtId="8" formatCode="&quot;$&quot;#,##0.00;[Red]\-&quot;$&quot;#,##0.00"/>
    <numFmt numFmtId="44" formatCode="_-&quot;$&quot;* #,##0.00_-;\-&quot;$&quot;* #,##0.00_-;_-&quot;$&quot;* &quot;-&quot;??_-;_-@_-"/>
    <numFmt numFmtId="43" formatCode="_-* #,##0.00_-;\-* #,##0.00_-;_-* &quot;-&quot;??_-;_-@_-"/>
    <numFmt numFmtId="164" formatCode="_(&quot;$&quot;* #,##0.00_);_(&quot;$&quot;* \(#,##0.00\);_(&quot;$&quot;* &quot;-&quot;??_);_(@_)"/>
    <numFmt numFmtId="165" formatCode="_-* #,##0_-;\-* #,##0_-;_-* &quot;-&quot;??_-;_-@_-"/>
    <numFmt numFmtId="166" formatCode="0.0%"/>
    <numFmt numFmtId="167" formatCode="0.000000"/>
    <numFmt numFmtId="168" formatCode="_-* #,##0.0000000_-;\-* #,##0.0000000_-;_-* &quot;-&quot;??_-;_-@_-"/>
    <numFmt numFmtId="169" formatCode="_-* #,##0.0_-;\-* #,##0.0_-;_-* &quot;-&quot;??_-;_-@_-"/>
  </numFmts>
  <fonts count="38">
    <font>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u val="singleAccounting"/>
      <sz val="11"/>
      <color theme="1"/>
      <name val="Calibri"/>
      <family val="2"/>
      <scheme val="minor"/>
    </font>
    <font>
      <sz val="10"/>
      <name val="Arial"/>
      <family val="2"/>
    </font>
    <font>
      <sz val="10"/>
      <name val="Palatino"/>
    </font>
    <font>
      <sz val="8"/>
      <name val="Arial"/>
      <family val="2"/>
    </font>
    <font>
      <b/>
      <sz val="8"/>
      <color indexed="12"/>
      <name val="Arial"/>
      <family val="2"/>
    </font>
    <font>
      <b/>
      <sz val="8"/>
      <name val="Arial"/>
      <family val="2"/>
    </font>
    <font>
      <b/>
      <i/>
      <sz val="10"/>
      <name val="Arial"/>
      <family val="2"/>
    </font>
    <font>
      <b/>
      <sz val="10"/>
      <name val="Arial"/>
      <family val="2"/>
    </font>
    <font>
      <sz val="11"/>
      <color rgb="FFFF0000"/>
      <name val="Calibri"/>
      <family val="2"/>
      <scheme val="minor"/>
    </font>
    <font>
      <sz val="11"/>
      <name val="Calibri"/>
      <family val="2"/>
      <scheme val="minor"/>
    </font>
    <font>
      <b/>
      <sz val="8"/>
      <color rgb="FF000000"/>
      <name val="Verdana"/>
      <family val="2"/>
    </font>
    <font>
      <u/>
      <sz val="11"/>
      <color theme="10"/>
      <name val="Calibri"/>
      <family val="2"/>
      <scheme val="minor"/>
    </font>
    <font>
      <b/>
      <sz val="11"/>
      <color theme="9" tint="0.79998168889431442"/>
      <name val="Calibri"/>
      <family val="2"/>
      <scheme val="minor"/>
    </font>
    <font>
      <b/>
      <u/>
      <sz val="11"/>
      <color theme="1"/>
      <name val="Calibri"/>
      <family val="2"/>
      <scheme val="minor"/>
    </font>
    <font>
      <strike/>
      <sz val="11"/>
      <color rgb="FFFF0000"/>
      <name val="Calibri"/>
      <family val="2"/>
      <scheme val="minor"/>
    </font>
    <font>
      <b/>
      <sz val="11"/>
      <name val="Calibri"/>
      <family val="2"/>
      <scheme val="minor"/>
    </font>
    <font>
      <b/>
      <sz val="12"/>
      <color theme="9" tint="0.79998168889431442"/>
      <name val="Calibri"/>
      <family val="2"/>
      <scheme val="minor"/>
    </font>
    <font>
      <b/>
      <sz val="12"/>
      <color theme="1"/>
      <name val="Calibri"/>
      <family val="2"/>
      <scheme val="minor"/>
    </font>
    <font>
      <b/>
      <sz val="11"/>
      <color rgb="FFFF0000"/>
      <name val="Calibri"/>
      <family val="2"/>
      <scheme val="minor"/>
    </font>
    <font>
      <b/>
      <sz val="12"/>
      <color rgb="FFFF0000"/>
      <name val="Calibri"/>
      <family val="2"/>
      <scheme val="minor"/>
    </font>
    <font>
      <b/>
      <strike/>
      <sz val="11"/>
      <color theme="1"/>
      <name val="Calibri"/>
      <family val="2"/>
      <scheme val="minor"/>
    </font>
    <font>
      <strike/>
      <sz val="11"/>
      <color theme="1"/>
      <name val="Calibri"/>
      <family val="2"/>
      <scheme val="minor"/>
    </font>
    <font>
      <strike/>
      <sz val="11"/>
      <name val="Calibri"/>
      <family val="2"/>
      <scheme val="minor"/>
    </font>
    <font>
      <sz val="14"/>
      <color rgb="FF000000"/>
      <name val="Times New Roman"/>
      <family val="1"/>
    </font>
    <font>
      <sz val="10"/>
      <color theme="1"/>
      <name val="Calibri"/>
      <family val="2"/>
      <scheme val="minor"/>
    </font>
    <font>
      <b/>
      <sz val="11"/>
      <color theme="0"/>
      <name val="Calibri"/>
      <family val="2"/>
      <scheme val="minor"/>
    </font>
    <font>
      <sz val="11"/>
      <color theme="0"/>
      <name val="Calibri"/>
      <family val="2"/>
      <scheme val="minor"/>
    </font>
    <font>
      <sz val="10"/>
      <color theme="1"/>
      <name val="Times New Roman"/>
      <family val="1"/>
    </font>
    <font>
      <b/>
      <sz val="10"/>
      <color rgb="FF000000"/>
      <name val="Calibri"/>
      <family val="2"/>
    </font>
    <font>
      <sz val="10"/>
      <color rgb="FF000000"/>
      <name val="Calibri"/>
      <family val="2"/>
    </font>
    <font>
      <sz val="9"/>
      <color theme="1"/>
      <name val="Segoe UI"/>
      <family val="2"/>
    </font>
    <font>
      <i/>
      <sz val="10"/>
      <name val="Calibri"/>
      <family val="2"/>
      <scheme val="minor"/>
    </font>
    <font>
      <b/>
      <sz val="11"/>
      <color rgb="FF000000"/>
      <name val="Calibri"/>
      <family val="2"/>
    </font>
    <font>
      <sz val="11"/>
      <color rgb="FF000000"/>
      <name val="Calibri"/>
      <family val="2"/>
    </font>
  </fonts>
  <fills count="20">
    <fill>
      <patternFill patternType="none"/>
    </fill>
    <fill>
      <patternFill patternType="gray125"/>
    </fill>
    <fill>
      <patternFill patternType="solid">
        <fgColor indexed="26"/>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F0"/>
        <bgColor indexed="64"/>
      </patternFill>
    </fill>
    <fill>
      <patternFill patternType="solid">
        <fgColor theme="0" tint="-0.34998626667073579"/>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F2F2F2"/>
        <bgColor indexed="64"/>
      </patternFill>
    </fill>
    <fill>
      <patternFill patternType="solid">
        <fgColor theme="8" tint="0.79998168889431442"/>
        <bgColor indexed="64"/>
      </patternFill>
    </fill>
    <fill>
      <patternFill patternType="solid">
        <fgColor theme="4"/>
        <bgColor theme="4"/>
      </patternFill>
    </fill>
    <fill>
      <patternFill patternType="solid">
        <fgColor theme="4" tint="0.79998168889431442"/>
        <bgColor theme="4" tint="0.79998168889431442"/>
      </patternFill>
    </fill>
  </fills>
  <borders count="56">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right style="thin">
        <color theme="4" tint="0.39994506668294322"/>
      </right>
      <top style="thin">
        <color theme="4" tint="0.39997558519241921"/>
      </top>
      <bottom style="thin">
        <color theme="4" tint="0.39997558519241921"/>
      </bottom>
      <diagonal/>
    </border>
    <border>
      <left/>
      <right style="thin">
        <color theme="4" tint="0.39994506668294322"/>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style="thin">
        <color indexed="64"/>
      </left>
      <right style="thin">
        <color indexed="64"/>
      </right>
      <top style="thin">
        <color rgb="FF000000"/>
      </top>
      <bottom style="thin">
        <color indexed="64"/>
      </bottom>
      <diagonal/>
    </border>
    <border>
      <left/>
      <right/>
      <top style="thin">
        <color rgb="FF000000"/>
      </top>
      <bottom/>
      <diagonal/>
    </border>
    <border>
      <left style="medium">
        <color rgb="FF000000"/>
      </left>
      <right style="thin">
        <color rgb="FF000000"/>
      </right>
      <top style="thin">
        <color rgb="FF000000"/>
      </top>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xf numFmtId="9" fontId="5" fillId="0" borderId="0" applyFont="0" applyFill="0" applyBorder="0" applyAlignment="0" applyProtection="0"/>
    <xf numFmtId="0" fontId="15" fillId="0" borderId="0" applyNumberFormat="0" applyFill="0" applyBorder="0" applyAlignment="0" applyProtection="0"/>
    <xf numFmtId="44" fontId="1" fillId="0" borderId="0" applyFont="0" applyFill="0" applyBorder="0" applyAlignment="0" applyProtection="0"/>
    <xf numFmtId="164" fontId="1" fillId="0" borderId="0" applyFont="0" applyFill="0" applyBorder="0" applyAlignment="0" applyProtection="0"/>
  </cellStyleXfs>
  <cellXfs count="478">
    <xf numFmtId="0" fontId="0" fillId="0" borderId="0" xfId="0"/>
    <xf numFmtId="165" fontId="0" fillId="0" borderId="0" xfId="1" applyNumberFormat="1" applyFont="1"/>
    <xf numFmtId="165" fontId="3" fillId="0" borderId="0" xfId="1" applyNumberFormat="1" applyFont="1"/>
    <xf numFmtId="165" fontId="4" fillId="0" borderId="0" xfId="1" applyNumberFormat="1" applyFont="1"/>
    <xf numFmtId="2" fontId="5" fillId="0" borderId="0" xfId="3" applyNumberFormat="1"/>
    <xf numFmtId="2" fontId="6" fillId="0" borderId="0" xfId="3" applyNumberFormat="1" applyFont="1" applyAlignment="1">
      <alignment horizontal="right"/>
    </xf>
    <xf numFmtId="2" fontId="6" fillId="0" borderId="0" xfId="3" applyNumberFormat="1" applyFont="1" applyAlignment="1">
      <alignment horizontal="center"/>
    </xf>
    <xf numFmtId="2" fontId="6" fillId="0" borderId="0" xfId="3" applyNumberFormat="1" applyFont="1"/>
    <xf numFmtId="0" fontId="5" fillId="0" borderId="0" xfId="3"/>
    <xf numFmtId="2" fontId="7" fillId="0" borderId="0" xfId="3" applyNumberFormat="1" applyFont="1" applyAlignment="1">
      <alignment horizontal="right"/>
    </xf>
    <xf numFmtId="2" fontId="7" fillId="0" borderId="0" xfId="3" applyNumberFormat="1" applyFont="1" applyAlignment="1">
      <alignment horizontal="center"/>
    </xf>
    <xf numFmtId="2" fontId="7" fillId="0" borderId="0" xfId="3" applyNumberFormat="1" applyFont="1"/>
    <xf numFmtId="0" fontId="7" fillId="0" borderId="0" xfId="3" applyFont="1"/>
    <xf numFmtId="7" fontId="7" fillId="0" borderId="0" xfId="3" applyNumberFormat="1" applyFont="1" applyProtection="1">
      <protection locked="0"/>
    </xf>
    <xf numFmtId="2" fontId="8" fillId="0" borderId="0" xfId="3" applyNumberFormat="1" applyFont="1"/>
    <xf numFmtId="2" fontId="7" fillId="0" borderId="0" xfId="3" applyNumberFormat="1" applyFont="1" applyAlignment="1">
      <alignment horizontal="left"/>
    </xf>
    <xf numFmtId="2" fontId="7" fillId="0" borderId="1" xfId="3" applyNumberFormat="1" applyFont="1" applyBorder="1" applyAlignment="1">
      <alignment horizontal="center"/>
    </xf>
    <xf numFmtId="2" fontId="7" fillId="0" borderId="1" xfId="3" applyNumberFormat="1" applyFont="1" applyBorder="1" applyAlignment="1">
      <alignment horizontal="left"/>
    </xf>
    <xf numFmtId="167" fontId="7" fillId="0" borderId="0" xfId="3" applyNumberFormat="1" applyFont="1"/>
    <xf numFmtId="2" fontId="8" fillId="0" borderId="0" xfId="3" applyNumberFormat="1" applyFont="1" applyAlignment="1">
      <alignment horizontal="right"/>
    </xf>
    <xf numFmtId="7" fontId="7" fillId="0" borderId="0" xfId="3" applyNumberFormat="1" applyFont="1"/>
    <xf numFmtId="1" fontId="7" fillId="2" borderId="0" xfId="3" applyNumberFormat="1" applyFont="1" applyFill="1" applyProtection="1">
      <protection locked="0"/>
    </xf>
    <xf numFmtId="1" fontId="7" fillId="0" borderId="0" xfId="3" applyNumberFormat="1" applyFont="1" applyProtection="1">
      <protection locked="0"/>
    </xf>
    <xf numFmtId="8" fontId="7" fillId="0" borderId="0" xfId="3" applyNumberFormat="1" applyFont="1"/>
    <xf numFmtId="2" fontId="9" fillId="0" borderId="0" xfId="3" applyNumberFormat="1" applyFont="1"/>
    <xf numFmtId="10" fontId="7" fillId="2" borderId="0" xfId="4" applyNumberFormat="1" applyFont="1" applyFill="1" applyProtection="1">
      <protection locked="0"/>
    </xf>
    <xf numFmtId="5" fontId="7" fillId="2" borderId="0" xfId="3" applyNumberFormat="1" applyFont="1" applyFill="1" applyProtection="1">
      <protection locked="0"/>
    </xf>
    <xf numFmtId="2" fontId="10" fillId="0" borderId="0" xfId="3" applyNumberFormat="1" applyFont="1" applyAlignment="1">
      <alignment horizontal="left"/>
    </xf>
    <xf numFmtId="2" fontId="11" fillId="0" borderId="0" xfId="3" applyNumberFormat="1" applyFont="1" applyAlignment="1">
      <alignment horizontal="left"/>
    </xf>
    <xf numFmtId="165" fontId="4" fillId="0" borderId="0" xfId="1" applyNumberFormat="1" applyFont="1" applyAlignment="1">
      <alignment horizontal="right"/>
    </xf>
    <xf numFmtId="165" fontId="2" fillId="0" borderId="0" xfId="1" applyNumberFormat="1" applyFont="1"/>
    <xf numFmtId="165" fontId="0" fillId="0" borderId="0" xfId="1" applyNumberFormat="1" applyFont="1" applyAlignment="1">
      <alignment horizontal="right"/>
    </xf>
    <xf numFmtId="165" fontId="1" fillId="0" borderId="0" xfId="1" applyNumberFormat="1" applyFont="1"/>
    <xf numFmtId="165" fontId="2" fillId="3" borderId="2" xfId="1" applyNumberFormat="1" applyFont="1" applyFill="1" applyBorder="1"/>
    <xf numFmtId="165" fontId="0" fillId="0" borderId="0" xfId="1" applyNumberFormat="1" applyFont="1" applyBorder="1"/>
    <xf numFmtId="165" fontId="0" fillId="5" borderId="0" xfId="1" applyNumberFormat="1" applyFont="1" applyFill="1"/>
    <xf numFmtId="165" fontId="4" fillId="5" borderId="0" xfId="1" applyNumberFormat="1" applyFont="1" applyFill="1"/>
    <xf numFmtId="43" fontId="0" fillId="0" borderId="0" xfId="1" applyFont="1" applyFill="1" applyBorder="1"/>
    <xf numFmtId="165" fontId="0" fillId="0" borderId="0" xfId="1" applyNumberFormat="1" applyFont="1" applyFill="1" applyBorder="1"/>
    <xf numFmtId="9" fontId="0" fillId="0" borderId="0" xfId="2" applyFont="1" applyFill="1" applyBorder="1" applyAlignment="1">
      <alignment horizontal="right"/>
    </xf>
    <xf numFmtId="43" fontId="0" fillId="0" borderId="0" xfId="1" applyFont="1" applyFill="1" applyBorder="1" applyAlignment="1">
      <alignment horizontal="right"/>
    </xf>
    <xf numFmtId="165" fontId="0" fillId="0" borderId="0" xfId="1" applyNumberFormat="1" applyFont="1" applyFill="1"/>
    <xf numFmtId="165" fontId="0" fillId="4" borderId="0" xfId="1" applyNumberFormat="1" applyFont="1" applyFill="1" applyProtection="1">
      <protection locked="0"/>
    </xf>
    <xf numFmtId="165" fontId="4" fillId="4" borderId="0" xfId="1" applyNumberFormat="1" applyFont="1" applyFill="1" applyProtection="1">
      <protection locked="0"/>
    </xf>
    <xf numFmtId="10" fontId="0" fillId="4" borderId="0" xfId="2" applyNumberFormat="1" applyFont="1" applyFill="1" applyProtection="1">
      <protection locked="0"/>
    </xf>
    <xf numFmtId="165" fontId="0" fillId="0" borderId="0" xfId="1" applyNumberFormat="1" applyFont="1" applyFill="1" applyBorder="1" applyAlignment="1">
      <alignment horizontal="right"/>
    </xf>
    <xf numFmtId="165" fontId="1" fillId="0" borderId="0" xfId="1" applyNumberFormat="1" applyFont="1" applyFill="1" applyBorder="1" applyAlignment="1">
      <alignment horizontal="right"/>
    </xf>
    <xf numFmtId="165" fontId="1" fillId="0" borderId="0" xfId="1" applyNumberFormat="1" applyFont="1" applyFill="1" applyBorder="1"/>
    <xf numFmtId="165" fontId="0" fillId="7" borderId="0" xfId="1" applyNumberFormat="1" applyFont="1" applyFill="1" applyBorder="1"/>
    <xf numFmtId="10" fontId="0" fillId="0" borderId="0" xfId="2" applyNumberFormat="1" applyFont="1" applyBorder="1"/>
    <xf numFmtId="43" fontId="0" fillId="0" borderId="0" xfId="1" applyFont="1" applyBorder="1"/>
    <xf numFmtId="0" fontId="0" fillId="0" borderId="0" xfId="0" applyAlignment="1">
      <alignment horizontal="center"/>
    </xf>
    <xf numFmtId="0" fontId="0" fillId="6" borderId="2" xfId="0" applyFill="1" applyBorder="1" applyAlignment="1">
      <alignment horizontal="center"/>
    </xf>
    <xf numFmtId="9" fontId="1" fillId="0" borderId="0" xfId="2" applyFont="1" applyFill="1" applyBorder="1" applyAlignment="1">
      <alignment horizontal="center"/>
    </xf>
    <xf numFmtId="9" fontId="1" fillId="7" borderId="2" xfId="2" applyFont="1" applyFill="1" applyBorder="1" applyAlignment="1">
      <alignment horizontal="center"/>
    </xf>
    <xf numFmtId="0" fontId="13" fillId="0" borderId="0" xfId="0" applyFont="1"/>
    <xf numFmtId="0" fontId="2" fillId="0" borderId="0" xfId="0" applyFont="1" applyAlignment="1">
      <alignment horizontal="center"/>
    </xf>
    <xf numFmtId="0" fontId="0" fillId="0" borderId="5" xfId="0" applyBorder="1"/>
    <xf numFmtId="0" fontId="0" fillId="0" borderId="5" xfId="0" applyBorder="1" applyAlignment="1">
      <alignment horizontal="center"/>
    </xf>
    <xf numFmtId="0" fontId="0" fillId="0" borderId="0" xfId="0" applyAlignment="1">
      <alignment horizontal="center" wrapText="1"/>
    </xf>
    <xf numFmtId="0" fontId="0" fillId="0" borderId="0" xfId="0" applyProtection="1">
      <protection hidden="1"/>
    </xf>
    <xf numFmtId="165" fontId="2" fillId="5" borderId="0" xfId="1" applyNumberFormat="1" applyFont="1" applyFill="1"/>
    <xf numFmtId="165" fontId="0" fillId="5" borderId="2" xfId="0" applyNumberFormat="1" applyFill="1" applyBorder="1"/>
    <xf numFmtId="0" fontId="0" fillId="0" borderId="0" xfId="0" applyAlignment="1">
      <alignment horizontal="center" vertical="center"/>
    </xf>
    <xf numFmtId="165" fontId="0" fillId="5" borderId="0" xfId="1" applyNumberFormat="1" applyFont="1" applyFill="1" applyBorder="1"/>
    <xf numFmtId="0" fontId="16" fillId="8" borderId="0" xfId="0" applyFont="1" applyFill="1"/>
    <xf numFmtId="165" fontId="16" fillId="8" borderId="0" xfId="1" applyNumberFormat="1" applyFont="1" applyFill="1" applyBorder="1"/>
    <xf numFmtId="0" fontId="2" fillId="0" borderId="0" xfId="0" applyFont="1"/>
    <xf numFmtId="0" fontId="0" fillId="4" borderId="0" xfId="0" applyFill="1" applyAlignment="1" applyProtection="1">
      <alignment horizontal="center"/>
      <protection locked="0"/>
    </xf>
    <xf numFmtId="0" fontId="0" fillId="0" borderId="0" xfId="0" applyAlignment="1">
      <alignment horizontal="center" vertical="top"/>
    </xf>
    <xf numFmtId="0" fontId="13" fillId="0" borderId="5" xfId="0" applyFont="1" applyBorder="1" applyAlignment="1">
      <alignment horizontal="center"/>
    </xf>
    <xf numFmtId="0" fontId="2" fillId="0" borderId="5" xfId="0" applyFont="1" applyBorder="1" applyAlignment="1">
      <alignment horizontal="center"/>
    </xf>
    <xf numFmtId="0" fontId="0" fillId="0" borderId="0" xfId="0" applyAlignment="1">
      <alignment wrapText="1"/>
    </xf>
    <xf numFmtId="0" fontId="16" fillId="8" borderId="0" xfId="0" applyFont="1" applyFill="1" applyAlignment="1">
      <alignment wrapText="1"/>
    </xf>
    <xf numFmtId="0" fontId="2" fillId="0" borderId="0" xfId="0" applyFont="1" applyAlignment="1">
      <alignment wrapText="1"/>
    </xf>
    <xf numFmtId="0" fontId="0" fillId="0" borderId="0" xfId="0" applyAlignment="1">
      <alignment vertical="top" wrapText="1"/>
    </xf>
    <xf numFmtId="0" fontId="2" fillId="0" borderId="5" xfId="0" applyFont="1" applyBorder="1" applyAlignment="1">
      <alignment wrapText="1"/>
    </xf>
    <xf numFmtId="0" fontId="16" fillId="0" borderId="0" xfId="0" applyFont="1"/>
    <xf numFmtId="0" fontId="0" fillId="0" borderId="0" xfId="1" applyNumberFormat="1" applyFont="1" applyBorder="1"/>
    <xf numFmtId="165" fontId="2" fillId="0" borderId="0" xfId="1" applyNumberFormat="1" applyFont="1" applyBorder="1"/>
    <xf numFmtId="165" fontId="4" fillId="0" borderId="0" xfId="1" applyNumberFormat="1" applyFont="1" applyBorder="1"/>
    <xf numFmtId="165" fontId="0" fillId="0" borderId="0" xfId="0" applyNumberFormat="1"/>
    <xf numFmtId="165" fontId="4" fillId="5" borderId="0" xfId="1" applyNumberFormat="1" applyFont="1" applyFill="1" applyBorder="1"/>
    <xf numFmtId="165" fontId="4" fillId="0" borderId="0" xfId="1" applyNumberFormat="1" applyFont="1" applyFill="1" applyBorder="1"/>
    <xf numFmtId="165" fontId="1" fillId="0" borderId="0" xfId="1" applyNumberFormat="1" applyFont="1" applyBorder="1"/>
    <xf numFmtId="165" fontId="1" fillId="5" borderId="0" xfId="1" applyNumberFormat="1" applyFont="1" applyFill="1" applyBorder="1"/>
    <xf numFmtId="9" fontId="1" fillId="0" borderId="0" xfId="2" applyFont="1" applyBorder="1"/>
    <xf numFmtId="165" fontId="0" fillId="0" borderId="0" xfId="1" applyNumberFormat="1" applyFont="1" applyBorder="1" applyAlignment="1">
      <alignment horizontal="right"/>
    </xf>
    <xf numFmtId="165" fontId="4" fillId="0" borderId="0" xfId="1" applyNumberFormat="1" applyFont="1" applyBorder="1" applyAlignment="1">
      <alignment horizontal="right"/>
    </xf>
    <xf numFmtId="165" fontId="0" fillId="4" borderId="0" xfId="1" applyNumberFormat="1" applyFont="1" applyFill="1" applyBorder="1" applyProtection="1">
      <protection locked="0"/>
    </xf>
    <xf numFmtId="165" fontId="12" fillId="0" borderId="0" xfId="1" applyNumberFormat="1" applyFont="1" applyBorder="1" applyAlignment="1">
      <alignment horizontal="center"/>
    </xf>
    <xf numFmtId="165" fontId="4" fillId="4" borderId="0" xfId="1" applyNumberFormat="1" applyFont="1" applyFill="1" applyBorder="1" applyProtection="1">
      <protection locked="0"/>
    </xf>
    <xf numFmtId="166" fontId="0" fillId="0" borderId="0" xfId="2" applyNumberFormat="1" applyFont="1" applyBorder="1"/>
    <xf numFmtId="10" fontId="0" fillId="4" borderId="0" xfId="2" applyNumberFormat="1" applyFont="1" applyFill="1" applyBorder="1" applyProtection="1">
      <protection locked="0"/>
    </xf>
    <xf numFmtId="165" fontId="2" fillId="5" borderId="0" xfId="1" applyNumberFormat="1" applyFont="1" applyFill="1" applyBorder="1"/>
    <xf numFmtId="165" fontId="2" fillId="0" borderId="0" xfId="0" applyNumberFormat="1" applyFont="1"/>
    <xf numFmtId="10" fontId="1" fillId="0" borderId="0" xfId="2" applyNumberFormat="1" applyFont="1" applyBorder="1"/>
    <xf numFmtId="0" fontId="16" fillId="11" borderId="0" xfId="0" applyFont="1" applyFill="1"/>
    <xf numFmtId="165" fontId="2" fillId="3" borderId="0" xfId="1" applyNumberFormat="1" applyFont="1" applyFill="1" applyBorder="1"/>
    <xf numFmtId="165" fontId="3" fillId="0" borderId="0" xfId="1" applyNumberFormat="1" applyFont="1" applyBorder="1"/>
    <xf numFmtId="0" fontId="0" fillId="11" borderId="0" xfId="0" applyFill="1"/>
    <xf numFmtId="165" fontId="0" fillId="11" borderId="0" xfId="1" applyNumberFormat="1" applyFont="1" applyFill="1"/>
    <xf numFmtId="0" fontId="2" fillId="0" borderId="0" xfId="0" applyFont="1" applyAlignment="1">
      <alignment horizontal="center" vertical="center"/>
    </xf>
    <xf numFmtId="165" fontId="2" fillId="3" borderId="6" xfId="1" applyNumberFormat="1" applyFont="1" applyFill="1" applyBorder="1"/>
    <xf numFmtId="165" fontId="0" fillId="3" borderId="8" xfId="1" applyNumberFormat="1" applyFont="1" applyFill="1" applyBorder="1" applyAlignment="1">
      <alignment horizontal="right"/>
    </xf>
    <xf numFmtId="165" fontId="2" fillId="3" borderId="7" xfId="1" applyNumberFormat="1" applyFont="1" applyFill="1" applyBorder="1"/>
    <xf numFmtId="165" fontId="0" fillId="0" borderId="0" xfId="1" applyNumberFormat="1" applyFont="1" applyAlignment="1">
      <alignment horizontal="left" indent="4"/>
    </xf>
    <xf numFmtId="165" fontId="3" fillId="0" borderId="0" xfId="1" applyNumberFormat="1" applyFont="1" applyAlignment="1">
      <alignment horizontal="left" indent="4"/>
    </xf>
    <xf numFmtId="0" fontId="0" fillId="0" borderId="0" xfId="0" applyAlignment="1">
      <alignment horizontal="left" indent="4"/>
    </xf>
    <xf numFmtId="165" fontId="0" fillId="0" borderId="0" xfId="1" applyNumberFormat="1" applyFont="1" applyFill="1" applyBorder="1" applyAlignment="1">
      <alignment horizontal="left" indent="4"/>
    </xf>
    <xf numFmtId="0" fontId="0" fillId="9" borderId="0" xfId="0" applyFill="1"/>
    <xf numFmtId="0" fontId="0" fillId="10" borderId="0" xfId="0" applyFill="1"/>
    <xf numFmtId="0" fontId="16" fillId="10" borderId="0" xfId="0" applyFont="1" applyFill="1"/>
    <xf numFmtId="165" fontId="0" fillId="9" borderId="0" xfId="1" applyNumberFormat="1" applyFont="1" applyFill="1"/>
    <xf numFmtId="168" fontId="0" fillId="0" borderId="0" xfId="1" applyNumberFormat="1" applyFont="1" applyBorder="1"/>
    <xf numFmtId="8" fontId="0" fillId="0" borderId="0" xfId="2" applyNumberFormat="1" applyFont="1" applyBorder="1"/>
    <xf numFmtId="165" fontId="0" fillId="7" borderId="2" xfId="0" applyNumberFormat="1" applyFill="1" applyBorder="1"/>
    <xf numFmtId="165" fontId="4" fillId="0" borderId="9" xfId="1" applyNumberFormat="1" applyFont="1" applyBorder="1" applyAlignment="1">
      <alignment horizontal="right"/>
    </xf>
    <xf numFmtId="165" fontId="0" fillId="4" borderId="9" xfId="1" applyNumberFormat="1" applyFont="1" applyFill="1" applyBorder="1" applyProtection="1">
      <protection locked="0"/>
    </xf>
    <xf numFmtId="165" fontId="0" fillId="4" borderId="4" xfId="1" applyNumberFormat="1" applyFont="1" applyFill="1" applyBorder="1" applyProtection="1">
      <protection locked="0"/>
    </xf>
    <xf numFmtId="165" fontId="0" fillId="0" borderId="9" xfId="1" applyNumberFormat="1" applyFont="1" applyBorder="1"/>
    <xf numFmtId="165" fontId="0" fillId="5" borderId="9" xfId="1" applyNumberFormat="1" applyFont="1" applyFill="1" applyBorder="1"/>
    <xf numFmtId="165" fontId="4" fillId="4" borderId="9" xfId="1" applyNumberFormat="1" applyFont="1" applyFill="1" applyBorder="1" applyProtection="1">
      <protection locked="0"/>
    </xf>
    <xf numFmtId="10" fontId="0" fillId="5" borderId="9" xfId="2" applyNumberFormat="1" applyFont="1" applyFill="1" applyBorder="1"/>
    <xf numFmtId="165" fontId="4" fillId="5" borderId="9" xfId="1" applyNumberFormat="1" applyFont="1" applyFill="1" applyBorder="1"/>
    <xf numFmtId="165" fontId="0" fillId="5" borderId="4" xfId="1" applyNumberFormat="1" applyFont="1" applyFill="1" applyBorder="1"/>
    <xf numFmtId="10" fontId="0" fillId="4" borderId="9" xfId="2" applyNumberFormat="1" applyFont="1" applyFill="1" applyBorder="1" applyProtection="1">
      <protection locked="0"/>
    </xf>
    <xf numFmtId="165" fontId="0" fillId="0" borderId="10" xfId="1" applyNumberFormat="1" applyFont="1" applyBorder="1"/>
    <xf numFmtId="165" fontId="0" fillId="0" borderId="11" xfId="1" applyNumberFormat="1" applyFont="1" applyBorder="1"/>
    <xf numFmtId="165" fontId="0" fillId="0" borderId="12" xfId="1" applyNumberFormat="1" applyFont="1" applyBorder="1"/>
    <xf numFmtId="165" fontId="0" fillId="0" borderId="13" xfId="1" applyNumberFormat="1" applyFont="1" applyBorder="1"/>
    <xf numFmtId="0" fontId="13" fillId="0" borderId="0" xfId="0" applyFont="1" applyAlignment="1">
      <alignment wrapText="1"/>
    </xf>
    <xf numFmtId="0" fontId="0" fillId="4" borderId="0" xfId="0" applyFill="1" applyAlignment="1" applyProtection="1">
      <alignment horizontal="center" vertical="center"/>
      <protection locked="0"/>
    </xf>
    <xf numFmtId="0" fontId="0" fillId="0" borderId="0" xfId="0" applyAlignment="1">
      <alignment horizontal="center" vertical="center" wrapText="1"/>
    </xf>
    <xf numFmtId="165" fontId="0" fillId="5" borderId="2" xfId="1" applyNumberFormat="1" applyFont="1" applyFill="1" applyBorder="1" applyProtection="1"/>
    <xf numFmtId="165" fontId="0" fillId="4" borderId="0" xfId="1" applyNumberFormat="1" applyFont="1" applyFill="1" applyAlignment="1" applyProtection="1">
      <alignment horizontal="left" indent="4"/>
      <protection locked="0"/>
    </xf>
    <xf numFmtId="165" fontId="0" fillId="7" borderId="0" xfId="1" applyNumberFormat="1" applyFont="1" applyFill="1" applyBorder="1" applyProtection="1"/>
    <xf numFmtId="165" fontId="0" fillId="3" borderId="0" xfId="1" applyNumberFormat="1" applyFont="1" applyFill="1" applyBorder="1" applyProtection="1"/>
    <xf numFmtId="165" fontId="1" fillId="3" borderId="0" xfId="1" applyNumberFormat="1" applyFont="1" applyFill="1" applyBorder="1" applyAlignment="1" applyProtection="1">
      <alignment horizontal="right"/>
    </xf>
    <xf numFmtId="165" fontId="0" fillId="3" borderId="0" xfId="1" applyNumberFormat="1" applyFont="1" applyFill="1" applyBorder="1" applyAlignment="1" applyProtection="1">
      <alignment horizontal="right"/>
    </xf>
    <xf numFmtId="165" fontId="0" fillId="5" borderId="0" xfId="1" applyNumberFormat="1" applyFont="1" applyFill="1" applyBorder="1" applyProtection="1"/>
    <xf numFmtId="165" fontId="4" fillId="5" borderId="0" xfId="1" applyNumberFormat="1" applyFont="1" applyFill="1" applyBorder="1" applyProtection="1"/>
    <xf numFmtId="165" fontId="0" fillId="5" borderId="5" xfId="1" applyNumberFormat="1" applyFont="1" applyFill="1" applyBorder="1" applyProtection="1"/>
    <xf numFmtId="165" fontId="1" fillId="0" borderId="0" xfId="1" applyNumberFormat="1" applyFont="1" applyBorder="1" applyProtection="1"/>
    <xf numFmtId="9" fontId="0" fillId="4" borderId="0" xfId="2" applyFont="1" applyFill="1" applyBorder="1" applyProtection="1">
      <protection locked="0"/>
    </xf>
    <xf numFmtId="165" fontId="0" fillId="12" borderId="2" xfId="1" applyNumberFormat="1" applyFont="1" applyFill="1" applyBorder="1" applyAlignment="1">
      <alignment horizontal="right"/>
    </xf>
    <xf numFmtId="10" fontId="0" fillId="0" borderId="0" xfId="0" applyNumberFormat="1"/>
    <xf numFmtId="9" fontId="1" fillId="4" borderId="2" xfId="2" applyFont="1" applyFill="1" applyBorder="1" applyAlignment="1" applyProtection="1">
      <alignment horizontal="center"/>
      <protection locked="0"/>
    </xf>
    <xf numFmtId="165" fontId="0" fillId="3" borderId="2" xfId="1" applyNumberFormat="1" applyFont="1" applyFill="1" applyBorder="1" applyAlignment="1" applyProtection="1">
      <alignment horizontal="center"/>
    </xf>
    <xf numFmtId="165" fontId="0" fillId="5" borderId="0" xfId="1" applyNumberFormat="1" applyFont="1" applyFill="1" applyProtection="1"/>
    <xf numFmtId="165" fontId="4" fillId="12" borderId="9" xfId="1" applyNumberFormat="1" applyFont="1" applyFill="1" applyBorder="1" applyAlignment="1">
      <alignment horizontal="right"/>
    </xf>
    <xf numFmtId="10" fontId="0" fillId="4" borderId="0" xfId="0" applyNumberFormat="1" applyFill="1" applyProtection="1">
      <protection locked="0"/>
    </xf>
    <xf numFmtId="10" fontId="0" fillId="4" borderId="5" xfId="0" applyNumberFormat="1" applyFill="1" applyBorder="1" applyProtection="1">
      <protection locked="0"/>
    </xf>
    <xf numFmtId="165" fontId="0" fillId="5" borderId="9" xfId="1" applyNumberFormat="1" applyFont="1" applyFill="1" applyBorder="1" applyProtection="1"/>
    <xf numFmtId="165" fontId="4" fillId="5" borderId="9" xfId="1" applyNumberFormat="1" applyFont="1" applyFill="1" applyBorder="1" applyProtection="1"/>
    <xf numFmtId="165" fontId="0" fillId="5" borderId="4" xfId="1" applyNumberFormat="1" applyFont="1" applyFill="1" applyBorder="1" applyProtection="1"/>
    <xf numFmtId="165" fontId="0" fillId="0" borderId="9" xfId="1" applyNumberFormat="1" applyFont="1" applyBorder="1" applyAlignment="1">
      <alignment horizontal="center"/>
    </xf>
    <xf numFmtId="165" fontId="4" fillId="0" borderId="4" xfId="1" applyNumberFormat="1" applyFont="1" applyBorder="1" applyAlignment="1">
      <alignment horizontal="center"/>
    </xf>
    <xf numFmtId="9" fontId="0" fillId="4" borderId="0" xfId="2" applyFont="1" applyFill="1" applyBorder="1" applyAlignment="1" applyProtection="1">
      <alignment horizontal="center"/>
      <protection locked="0"/>
    </xf>
    <xf numFmtId="0" fontId="20" fillId="8" borderId="0" xfId="0" applyFont="1" applyFill="1" applyAlignment="1">
      <alignment wrapText="1"/>
    </xf>
    <xf numFmtId="0" fontId="18" fillId="0" borderId="0" xfId="0" applyFont="1" applyAlignment="1">
      <alignment wrapText="1"/>
    </xf>
    <xf numFmtId="0" fontId="0" fillId="0" borderId="0" xfId="0" applyAlignment="1">
      <alignment vertical="center" wrapText="1"/>
    </xf>
    <xf numFmtId="0" fontId="13" fillId="0" borderId="0" xfId="0" applyFont="1" applyAlignment="1">
      <alignment vertical="center" wrapText="1"/>
    </xf>
    <xf numFmtId="0" fontId="2" fillId="0" borderId="5" xfId="0" applyFont="1" applyBorder="1" applyAlignment="1">
      <alignment horizontal="center" vertical="center"/>
    </xf>
    <xf numFmtId="166" fontId="0" fillId="0" borderId="0" xfId="2" applyNumberFormat="1" applyFont="1" applyFill="1" applyBorder="1"/>
    <xf numFmtId="165" fontId="12" fillId="0" borderId="0" xfId="1" applyNumberFormat="1" applyFont="1" applyBorder="1"/>
    <xf numFmtId="0" fontId="20" fillId="8" borderId="0" xfId="0" applyFont="1" applyFill="1"/>
    <xf numFmtId="165" fontId="0" fillId="0" borderId="0" xfId="1" applyNumberFormat="1" applyFont="1" applyFill="1" applyBorder="1" applyProtection="1"/>
    <xf numFmtId="0" fontId="12" fillId="0" borderId="0" xfId="0" applyFont="1"/>
    <xf numFmtId="165" fontId="12" fillId="0" borderId="0" xfId="1" applyNumberFormat="1" applyFont="1" applyFill="1" applyBorder="1"/>
    <xf numFmtId="0" fontId="12" fillId="0" borderId="0" xfId="0" applyFont="1" applyAlignment="1">
      <alignment wrapText="1"/>
    </xf>
    <xf numFmtId="165" fontId="21" fillId="12" borderId="2" xfId="1" applyNumberFormat="1" applyFont="1" applyFill="1" applyBorder="1" applyAlignment="1">
      <alignment horizontal="right"/>
    </xf>
    <xf numFmtId="165" fontId="13" fillId="4" borderId="0" xfId="1" applyNumberFormat="1" applyFont="1" applyFill="1" applyAlignment="1" applyProtection="1">
      <alignment horizontal="left" indent="4"/>
      <protection locked="0"/>
    </xf>
    <xf numFmtId="165" fontId="13" fillId="0" borderId="0" xfId="1" applyNumberFormat="1" applyFont="1" applyAlignment="1">
      <alignment horizontal="left" vertical="center" wrapText="1" indent="4"/>
    </xf>
    <xf numFmtId="165" fontId="13" fillId="0" borderId="0" xfId="1" applyNumberFormat="1" applyFont="1" applyBorder="1"/>
    <xf numFmtId="165" fontId="13" fillId="0" borderId="0" xfId="1" applyNumberFormat="1" applyFont="1" applyFill="1" applyBorder="1" applyProtection="1"/>
    <xf numFmtId="165" fontId="13" fillId="5" borderId="0" xfId="1" applyNumberFormat="1" applyFont="1" applyFill="1" applyBorder="1" applyProtection="1"/>
    <xf numFmtId="165" fontId="13" fillId="0" borderId="0" xfId="1" applyNumberFormat="1" applyFont="1" applyFill="1" applyBorder="1"/>
    <xf numFmtId="10" fontId="0" fillId="0" borderId="0" xfId="2" applyNumberFormat="1" applyFont="1"/>
    <xf numFmtId="44" fontId="0" fillId="0" borderId="0" xfId="6" applyFont="1"/>
    <xf numFmtId="165" fontId="13" fillId="0" borderId="0" xfId="1" applyNumberFormat="1" applyFont="1"/>
    <xf numFmtId="165" fontId="13" fillId="0" borderId="0" xfId="1" applyNumberFormat="1" applyFont="1" applyFill="1" applyProtection="1"/>
    <xf numFmtId="9" fontId="0" fillId="0" borderId="0" xfId="2" applyFont="1" applyFill="1" applyBorder="1" applyAlignment="1" applyProtection="1">
      <alignment horizontal="right"/>
    </xf>
    <xf numFmtId="10" fontId="13" fillId="5" borderId="0" xfId="2" applyNumberFormat="1" applyFont="1" applyFill="1" applyProtection="1"/>
    <xf numFmtId="165" fontId="13" fillId="5" borderId="0" xfId="1" applyNumberFormat="1" applyFont="1" applyFill="1" applyProtection="1"/>
    <xf numFmtId="0" fontId="22" fillId="0" borderId="0" xfId="0" applyFont="1" applyAlignment="1">
      <alignment horizontal="center"/>
    </xf>
    <xf numFmtId="0" fontId="12" fillId="0" borderId="0" xfId="0" applyFont="1" applyAlignment="1">
      <alignment horizontal="center"/>
    </xf>
    <xf numFmtId="9" fontId="1" fillId="0" borderId="0" xfId="2" applyFont="1" applyFill="1" applyBorder="1" applyProtection="1"/>
    <xf numFmtId="165" fontId="0" fillId="0" borderId="0" xfId="1" applyNumberFormat="1" applyFont="1" applyFill="1" applyBorder="1" applyAlignment="1">
      <alignment horizontal="center"/>
    </xf>
    <xf numFmtId="0" fontId="2" fillId="6" borderId="2" xfId="0" applyFont="1" applyFill="1" applyBorder="1" applyAlignment="1">
      <alignment horizontal="center"/>
    </xf>
    <xf numFmtId="9" fontId="0" fillId="0" borderId="0" xfId="2" applyFont="1"/>
    <xf numFmtId="0" fontId="0" fillId="0" borderId="0" xfId="1" applyNumberFormat="1" applyFont="1"/>
    <xf numFmtId="44" fontId="0" fillId="5" borderId="0" xfId="6" applyFont="1" applyFill="1" applyBorder="1" applyAlignment="1">
      <alignment horizontal="right"/>
    </xf>
    <xf numFmtId="44" fontId="0" fillId="3" borderId="0" xfId="6" applyFont="1" applyFill="1" applyBorder="1" applyProtection="1"/>
    <xf numFmtId="0" fontId="13" fillId="0" borderId="0" xfId="0" applyFont="1" applyAlignment="1">
      <alignment horizontal="left" vertical="center"/>
    </xf>
    <xf numFmtId="0" fontId="13" fillId="0" borderId="0" xfId="0" applyFont="1" applyAlignment="1">
      <alignment horizontal="left" vertical="center" wrapText="1"/>
    </xf>
    <xf numFmtId="0" fontId="13" fillId="0" borderId="0" xfId="0" applyFont="1" applyAlignment="1">
      <alignment vertical="center"/>
    </xf>
    <xf numFmtId="165" fontId="13" fillId="0" borderId="0" xfId="1" applyNumberFormat="1" applyFont="1" applyAlignment="1">
      <alignment horizontal="left" indent="4"/>
    </xf>
    <xf numFmtId="165" fontId="13" fillId="0" borderId="0" xfId="1" applyNumberFormat="1" applyFont="1" applyAlignment="1">
      <alignment horizontal="left" wrapText="1" indent="4"/>
    </xf>
    <xf numFmtId="165" fontId="13" fillId="4" borderId="0" xfId="1" applyNumberFormat="1" applyFont="1" applyFill="1" applyBorder="1" applyProtection="1">
      <protection locked="0"/>
    </xf>
    <xf numFmtId="165" fontId="19" fillId="0" borderId="0" xfId="1" applyNumberFormat="1" applyFont="1" applyBorder="1"/>
    <xf numFmtId="165" fontId="0" fillId="0" borderId="0" xfId="1" applyNumberFormat="1" applyFont="1" applyProtection="1"/>
    <xf numFmtId="44" fontId="0" fillId="0" borderId="0" xfId="6" applyFont="1" applyProtection="1"/>
    <xf numFmtId="10" fontId="0" fillId="0" borderId="0" xfId="2" applyNumberFormat="1" applyFont="1" applyProtection="1"/>
    <xf numFmtId="0" fontId="0" fillId="0" borderId="0" xfId="1" applyNumberFormat="1" applyFont="1" applyProtection="1"/>
    <xf numFmtId="0" fontId="0" fillId="6" borderId="4" xfId="0" applyFill="1" applyBorder="1" applyAlignment="1">
      <alignment horizontal="center"/>
    </xf>
    <xf numFmtId="0" fontId="19" fillId="0" borderId="0" xfId="0" applyFont="1" applyAlignment="1">
      <alignment horizontal="center"/>
    </xf>
    <xf numFmtId="0" fontId="2" fillId="6" borderId="3" xfId="0" applyFont="1" applyFill="1" applyBorder="1" applyAlignment="1">
      <alignment horizontal="center"/>
    </xf>
    <xf numFmtId="44" fontId="0" fillId="4" borderId="0" xfId="6" applyFont="1" applyFill="1" applyBorder="1" applyAlignment="1" applyProtection="1">
      <alignment horizontal="right"/>
      <protection locked="0"/>
    </xf>
    <xf numFmtId="0" fontId="25" fillId="0" borderId="0" xfId="0" applyFont="1" applyAlignment="1">
      <alignment wrapText="1"/>
    </xf>
    <xf numFmtId="0" fontId="25" fillId="0" borderId="0" xfId="0" applyFont="1" applyAlignment="1">
      <alignment horizontal="center" vertical="center"/>
    </xf>
    <xf numFmtId="0" fontId="25" fillId="0" borderId="0" xfId="0" applyFont="1" applyAlignment="1">
      <alignment horizontal="center"/>
    </xf>
    <xf numFmtId="0" fontId="24" fillId="0" borderId="0" xfId="0" applyFont="1" applyAlignment="1">
      <alignment wrapText="1"/>
    </xf>
    <xf numFmtId="0" fontId="26"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wrapText="1"/>
    </xf>
    <xf numFmtId="0" fontId="2" fillId="0" borderId="1" xfId="0" applyFont="1" applyBorder="1" applyAlignment="1">
      <alignment wrapText="1"/>
    </xf>
    <xf numFmtId="0" fontId="0" fillId="0" borderId="1" xfId="0" applyBorder="1"/>
    <xf numFmtId="0" fontId="0" fillId="0" borderId="1" xfId="0" applyBorder="1" applyAlignment="1">
      <alignment horizontal="center" vertical="center"/>
    </xf>
    <xf numFmtId="0" fontId="27" fillId="0" borderId="0" xfId="0" applyFont="1"/>
    <xf numFmtId="0" fontId="0" fillId="0" borderId="0" xfId="0" applyAlignment="1">
      <alignment horizontal="left" vertical="center" wrapText="1"/>
    </xf>
    <xf numFmtId="0" fontId="12" fillId="0" borderId="0" xfId="0" applyFont="1" applyProtection="1">
      <protection hidden="1"/>
    </xf>
    <xf numFmtId="0" fontId="0" fillId="0" borderId="0" xfId="0" applyAlignment="1">
      <alignment vertical="center"/>
    </xf>
    <xf numFmtId="0" fontId="2" fillId="0" borderId="0" xfId="0" applyFont="1" applyAlignment="1">
      <alignment horizontal="right" wrapText="1"/>
    </xf>
    <xf numFmtId="0" fontId="0" fillId="0" borderId="1" xfId="0" applyBorder="1" applyAlignment="1">
      <alignment horizontal="center"/>
    </xf>
    <xf numFmtId="0" fontId="0" fillId="0" borderId="1" xfId="0" applyBorder="1" applyAlignment="1">
      <alignment wrapText="1"/>
    </xf>
    <xf numFmtId="0" fontId="2" fillId="13" borderId="2" xfId="0" applyFont="1" applyFill="1" applyBorder="1" applyAlignment="1">
      <alignment horizontal="center" vertical="center"/>
    </xf>
    <xf numFmtId="0" fontId="0" fillId="0" borderId="2" xfId="0" applyBorder="1" applyAlignment="1">
      <alignment horizontal="center"/>
    </xf>
    <xf numFmtId="0" fontId="2" fillId="13" borderId="2" xfId="0" applyFont="1" applyFill="1" applyBorder="1"/>
    <xf numFmtId="164" fontId="0" fillId="0" borderId="0" xfId="7" applyFont="1" applyFill="1"/>
    <xf numFmtId="166" fontId="1" fillId="0" borderId="0" xfId="2" applyNumberFormat="1" applyFont="1" applyFill="1" applyAlignment="1">
      <alignment horizontal="center"/>
    </xf>
    <xf numFmtId="165" fontId="0" fillId="0" borderId="0" xfId="1" applyNumberFormat="1" applyFont="1" applyFill="1" applyAlignment="1">
      <alignment horizontal="center"/>
    </xf>
    <xf numFmtId="9" fontId="0" fillId="0" borderId="0" xfId="2" applyFont="1" applyFill="1" applyAlignment="1">
      <alignment horizontal="center"/>
    </xf>
    <xf numFmtId="165" fontId="0" fillId="5" borderId="0" xfId="1" applyNumberFormat="1" applyFont="1" applyFill="1" applyAlignment="1">
      <alignment horizontal="right" vertical="center"/>
    </xf>
    <xf numFmtId="165" fontId="0" fillId="3" borderId="0" xfId="1" applyNumberFormat="1" applyFont="1" applyFill="1"/>
    <xf numFmtId="165" fontId="2" fillId="3" borderId="0" xfId="1" applyNumberFormat="1" applyFont="1" applyFill="1"/>
    <xf numFmtId="166" fontId="0" fillId="3" borderId="0" xfId="2" applyNumberFormat="1" applyFont="1" applyFill="1" applyAlignment="1">
      <alignment horizontal="right" vertical="center"/>
    </xf>
    <xf numFmtId="166" fontId="1" fillId="3" borderId="0" xfId="2" applyNumberFormat="1" applyFont="1" applyFill="1" applyAlignment="1">
      <alignment horizontal="right" vertical="center"/>
    </xf>
    <xf numFmtId="43" fontId="0" fillId="0" borderId="0" xfId="1" applyFont="1" applyFill="1" applyBorder="1" applyAlignment="1">
      <alignment horizontal="center"/>
    </xf>
    <xf numFmtId="0" fontId="2" fillId="0" borderId="1" xfId="0" applyFont="1" applyBorder="1" applyAlignment="1">
      <alignment horizontal="center"/>
    </xf>
    <xf numFmtId="0" fontId="20" fillId="0" borderId="0" xfId="0" applyFont="1" applyAlignment="1">
      <alignment wrapText="1"/>
    </xf>
    <xf numFmtId="0" fontId="16" fillId="0" borderId="0" xfId="0" applyFont="1" applyAlignment="1">
      <alignment wrapText="1"/>
    </xf>
    <xf numFmtId="0" fontId="13" fillId="0" borderId="1" xfId="0" applyFont="1" applyBorder="1"/>
    <xf numFmtId="0" fontId="0" fillId="0" borderId="0" xfId="0" applyAlignment="1">
      <alignment horizontal="right" wrapText="1"/>
    </xf>
    <xf numFmtId="165" fontId="0" fillId="3" borderId="0" xfId="1" applyNumberFormat="1" applyFont="1" applyFill="1" applyBorder="1" applyAlignment="1">
      <alignment horizontal="left"/>
    </xf>
    <xf numFmtId="165" fontId="0" fillId="5" borderId="0" xfId="1" applyNumberFormat="1" applyFont="1" applyFill="1" applyBorder="1" applyAlignment="1">
      <alignment horizontal="left"/>
    </xf>
    <xf numFmtId="165" fontId="19" fillId="0" borderId="0" xfId="1" applyNumberFormat="1" applyFont="1" applyBorder="1" applyAlignment="1">
      <alignment horizontal="right"/>
    </xf>
    <xf numFmtId="0" fontId="0" fillId="14" borderId="0" xfId="0" applyFill="1" applyAlignment="1">
      <alignment horizontal="center"/>
    </xf>
    <xf numFmtId="0" fontId="2" fillId="14" borderId="0" xfId="0" applyFont="1" applyFill="1" applyAlignment="1">
      <alignment horizontal="center"/>
    </xf>
    <xf numFmtId="0" fontId="0" fillId="14" borderId="0" xfId="0" applyFill="1" applyAlignment="1">
      <alignment horizontal="center" wrapText="1"/>
    </xf>
    <xf numFmtId="0" fontId="0" fillId="0" borderId="13" xfId="0" applyBorder="1"/>
    <xf numFmtId="0" fontId="2" fillId="0" borderId="0" xfId="0" applyFont="1" applyAlignment="1">
      <alignment vertical="center" wrapText="1"/>
    </xf>
    <xf numFmtId="0" fontId="0" fillId="11" borderId="0" xfId="0" applyFill="1" applyAlignment="1">
      <alignment vertical="center"/>
    </xf>
    <xf numFmtId="0" fontId="2" fillId="14" borderId="0" xfId="0" applyFont="1" applyFill="1" applyAlignment="1">
      <alignment horizontal="center" vertical="center"/>
    </xf>
    <xf numFmtId="0" fontId="2" fillId="14" borderId="1" xfId="0" applyFont="1" applyFill="1" applyBorder="1" applyAlignment="1">
      <alignment horizontal="center"/>
    </xf>
    <xf numFmtId="0" fontId="28" fillId="0" borderId="0" xfId="0" applyFont="1" applyAlignment="1">
      <alignment horizontal="center" vertical="top" wrapText="1"/>
    </xf>
    <xf numFmtId="0" fontId="28" fillId="0" borderId="0" xfId="0" applyFont="1" applyAlignment="1">
      <alignment horizontal="right" wrapText="1"/>
    </xf>
    <xf numFmtId="0" fontId="0" fillId="6" borderId="0" xfId="0" applyFill="1" applyAlignment="1">
      <alignment wrapText="1"/>
    </xf>
    <xf numFmtId="165" fontId="2" fillId="0" borderId="0" xfId="1" applyNumberFormat="1" applyFont="1" applyBorder="1" applyAlignment="1">
      <alignment horizontal="right"/>
    </xf>
    <xf numFmtId="2" fontId="0" fillId="0" borderId="0" xfId="0" applyNumberFormat="1" applyAlignment="1">
      <alignment horizontal="center"/>
    </xf>
    <xf numFmtId="3" fontId="0" fillId="0" borderId="0" xfId="0" applyNumberFormat="1" applyAlignment="1">
      <alignment horizontal="center"/>
    </xf>
    <xf numFmtId="2" fontId="0" fillId="0" borderId="0" xfId="0" applyNumberFormat="1" applyAlignment="1">
      <alignment horizontal="center" vertical="center"/>
    </xf>
    <xf numFmtId="0" fontId="0" fillId="15" borderId="0" xfId="0" applyFill="1"/>
    <xf numFmtId="0" fontId="0" fillId="3" borderId="0" xfId="0" applyFill="1" applyAlignment="1">
      <alignment wrapText="1"/>
    </xf>
    <xf numFmtId="3" fontId="0" fillId="0" borderId="0" xfId="0" applyNumberFormat="1" applyAlignment="1">
      <alignment horizontal="center" vertical="center"/>
    </xf>
    <xf numFmtId="9" fontId="0" fillId="0" borderId="0" xfId="2" applyFont="1" applyFill="1" applyAlignment="1">
      <alignment horizontal="center" vertical="center"/>
    </xf>
    <xf numFmtId="9" fontId="0" fillId="0" borderId="0" xfId="0" applyNumberFormat="1" applyAlignment="1">
      <alignment horizontal="center" vertical="center"/>
    </xf>
    <xf numFmtId="165" fontId="2" fillId="6" borderId="10" xfId="1" applyNumberFormat="1" applyFont="1" applyFill="1" applyBorder="1" applyAlignment="1">
      <alignment horizontal="left"/>
    </xf>
    <xf numFmtId="165" fontId="1" fillId="0" borderId="1" xfId="1" applyNumberFormat="1" applyFont="1" applyBorder="1"/>
    <xf numFmtId="165" fontId="0" fillId="3" borderId="16" xfId="1" applyNumberFormat="1" applyFont="1" applyFill="1" applyBorder="1" applyAlignment="1">
      <alignment horizontal="left"/>
    </xf>
    <xf numFmtId="165" fontId="0" fillId="3" borderId="15" xfId="1" applyNumberFormat="1" applyFont="1" applyFill="1" applyBorder="1" applyAlignment="1">
      <alignment horizontal="left"/>
    </xf>
    <xf numFmtId="165" fontId="0" fillId="4" borderId="16" xfId="1" applyNumberFormat="1" applyFont="1" applyFill="1" applyBorder="1" applyProtection="1">
      <protection locked="0"/>
    </xf>
    <xf numFmtId="165" fontId="0" fillId="5" borderId="16" xfId="1" applyNumberFormat="1" applyFont="1" applyFill="1" applyBorder="1"/>
    <xf numFmtId="1" fontId="0" fillId="5" borderId="16" xfId="1" applyNumberFormat="1" applyFont="1" applyFill="1" applyBorder="1" applyAlignment="1">
      <alignment horizontal="center" vertical="center"/>
    </xf>
    <xf numFmtId="165" fontId="0" fillId="0" borderId="15" xfId="1" applyNumberFormat="1" applyFont="1" applyBorder="1"/>
    <xf numFmtId="1" fontId="0" fillId="0" borderId="16" xfId="1" applyNumberFormat="1" applyFont="1" applyBorder="1" applyAlignment="1">
      <alignment horizontal="center" vertical="center"/>
    </xf>
    <xf numFmtId="9" fontId="13" fillId="5" borderId="16" xfId="2" applyFont="1" applyFill="1" applyBorder="1" applyAlignment="1">
      <alignment horizontal="center" vertical="center"/>
    </xf>
    <xf numFmtId="165" fontId="2" fillId="6" borderId="12" xfId="1" applyNumberFormat="1" applyFont="1" applyFill="1" applyBorder="1" applyAlignment="1">
      <alignment horizontal="center" vertical="center"/>
    </xf>
    <xf numFmtId="165" fontId="0" fillId="0" borderId="5" xfId="1" applyNumberFormat="1" applyFont="1" applyFill="1" applyBorder="1"/>
    <xf numFmtId="165" fontId="1" fillId="0" borderId="13" xfId="1" applyNumberFormat="1" applyFont="1" applyBorder="1"/>
    <xf numFmtId="165" fontId="2" fillId="0" borderId="10" xfId="1" applyNumberFormat="1" applyFont="1" applyBorder="1" applyAlignment="1">
      <alignment horizontal="right"/>
    </xf>
    <xf numFmtId="166" fontId="2" fillId="0" borderId="16" xfId="2" applyNumberFormat="1" applyFont="1" applyBorder="1" applyAlignment="1">
      <alignment horizontal="right"/>
    </xf>
    <xf numFmtId="9" fontId="0" fillId="5" borderId="0" xfId="2" applyFont="1" applyFill="1" applyBorder="1" applyAlignment="1">
      <alignment horizontal="right" vertical="center"/>
    </xf>
    <xf numFmtId="9" fontId="0" fillId="5" borderId="15" xfId="2" applyFont="1" applyFill="1" applyBorder="1" applyAlignment="1">
      <alignment horizontal="right" vertical="center"/>
    </xf>
    <xf numFmtId="165" fontId="0" fillId="0" borderId="1" xfId="1" applyNumberFormat="1" applyFont="1" applyBorder="1"/>
    <xf numFmtId="43" fontId="0" fillId="3" borderId="11" xfId="1" applyFont="1" applyFill="1" applyBorder="1"/>
    <xf numFmtId="165" fontId="2" fillId="6" borderId="12" xfId="1" applyNumberFormat="1" applyFont="1" applyFill="1" applyBorder="1"/>
    <xf numFmtId="165" fontId="0" fillId="6" borderId="5" xfId="1" applyNumberFormat="1" applyFont="1" applyFill="1" applyBorder="1"/>
    <xf numFmtId="165" fontId="0" fillId="0" borderId="5" xfId="1" applyNumberFormat="1" applyFont="1" applyBorder="1"/>
    <xf numFmtId="43" fontId="0" fillId="0" borderId="5" xfId="1" applyFont="1" applyFill="1" applyBorder="1"/>
    <xf numFmtId="43" fontId="2" fillId="6" borderId="13" xfId="1" applyFont="1" applyFill="1" applyBorder="1" applyAlignment="1">
      <alignment horizontal="right"/>
    </xf>
    <xf numFmtId="166" fontId="0" fillId="0" borderId="1" xfId="2" applyNumberFormat="1" applyFont="1" applyBorder="1"/>
    <xf numFmtId="165" fontId="0" fillId="0" borderId="1" xfId="1" applyNumberFormat="1" applyFont="1" applyBorder="1" applyAlignment="1">
      <alignment horizontal="right"/>
    </xf>
    <xf numFmtId="165" fontId="0" fillId="0" borderId="16" xfId="1" applyNumberFormat="1" applyFont="1" applyFill="1" applyBorder="1"/>
    <xf numFmtId="9" fontId="13" fillId="7" borderId="15" xfId="2" applyFont="1" applyFill="1" applyBorder="1" applyProtection="1"/>
    <xf numFmtId="9" fontId="0" fillId="0" borderId="5" xfId="2" applyFont="1" applyFill="1" applyBorder="1" applyAlignment="1">
      <alignment horizontal="right"/>
    </xf>
    <xf numFmtId="9" fontId="2" fillId="6" borderId="13" xfId="2" applyFont="1" applyFill="1" applyBorder="1" applyAlignment="1" applyProtection="1">
      <alignment horizontal="right"/>
    </xf>
    <xf numFmtId="0" fontId="2" fillId="0" borderId="1" xfId="0" applyFont="1" applyBorder="1"/>
    <xf numFmtId="0" fontId="0" fillId="0" borderId="11" xfId="0" applyBorder="1"/>
    <xf numFmtId="43" fontId="2" fillId="6" borderId="13" xfId="1" applyFont="1" applyFill="1" applyBorder="1" applyAlignment="1">
      <alignment horizontal="center"/>
    </xf>
    <xf numFmtId="0" fontId="13" fillId="0" borderId="10" xfId="0" applyFont="1" applyBorder="1"/>
    <xf numFmtId="0" fontId="12" fillId="0" borderId="5" xfId="0" applyFont="1" applyBorder="1" applyAlignment="1">
      <alignment horizontal="center"/>
    </xf>
    <xf numFmtId="0" fontId="0" fillId="0" borderId="0" xfId="0" applyAlignment="1" applyProtection="1">
      <alignment horizontal="right"/>
      <protection hidden="1"/>
    </xf>
    <xf numFmtId="0" fontId="0" fillId="0" borderId="0" xfId="0" applyAlignment="1" applyProtection="1">
      <alignment horizontal="center"/>
      <protection hidden="1"/>
    </xf>
    <xf numFmtId="0" fontId="0" fillId="0" borderId="0" xfId="0" applyAlignment="1" applyProtection="1">
      <alignment vertical="top"/>
      <protection hidden="1"/>
    </xf>
    <xf numFmtId="0" fontId="12" fillId="0" borderId="0" xfId="0" applyFont="1" applyAlignment="1" applyProtection="1">
      <alignment horizontal="center"/>
      <protection hidden="1"/>
    </xf>
    <xf numFmtId="1" fontId="2" fillId="0" borderId="1" xfId="0" applyNumberFormat="1" applyFont="1" applyBorder="1" applyAlignment="1">
      <alignment horizontal="center" vertical="center"/>
    </xf>
    <xf numFmtId="0" fontId="13" fillId="4" borderId="0" xfId="0" applyFont="1" applyFill="1" applyAlignment="1" applyProtection="1">
      <alignment horizontal="center" vertical="center"/>
      <protection locked="0"/>
    </xf>
    <xf numFmtId="0" fontId="25" fillId="4" borderId="0" xfId="0" applyFont="1" applyFill="1" applyAlignment="1">
      <alignment horizontal="center" vertical="center"/>
    </xf>
    <xf numFmtId="0" fontId="13" fillId="0" borderId="0" xfId="0" applyFont="1" applyAlignment="1">
      <alignment horizontal="center"/>
    </xf>
    <xf numFmtId="9" fontId="1" fillId="0" borderId="0" xfId="2" applyFont="1" applyFill="1" applyBorder="1" applyAlignment="1" applyProtection="1">
      <alignment horizontal="center"/>
    </xf>
    <xf numFmtId="10" fontId="0" fillId="0" borderId="0" xfId="2" applyNumberFormat="1" applyFont="1" applyFill="1" applyBorder="1" applyProtection="1"/>
    <xf numFmtId="0" fontId="30" fillId="0" borderId="0" xfId="0" applyFont="1" applyAlignment="1" applyProtection="1">
      <alignment horizontal="center"/>
      <protection hidden="1"/>
    </xf>
    <xf numFmtId="0" fontId="30" fillId="0" borderId="0" xfId="0" applyFont="1" applyAlignment="1">
      <alignment horizontal="center"/>
    </xf>
    <xf numFmtId="0" fontId="0" fillId="3" borderId="0" xfId="0" applyFill="1" applyAlignment="1">
      <alignment horizontal="center" vertical="center"/>
    </xf>
    <xf numFmtId="165" fontId="0" fillId="5" borderId="1" xfId="1" applyNumberFormat="1" applyFont="1" applyFill="1" applyBorder="1" applyAlignment="1">
      <alignment horizontal="right"/>
    </xf>
    <xf numFmtId="165" fontId="0" fillId="5" borderId="11" xfId="1" applyNumberFormat="1" applyFont="1" applyFill="1" applyBorder="1" applyAlignment="1">
      <alignment horizontal="right"/>
    </xf>
    <xf numFmtId="0" fontId="0" fillId="0" borderId="16" xfId="0" applyBorder="1" applyAlignment="1">
      <alignment horizontal="right" vertical="center"/>
    </xf>
    <xf numFmtId="0" fontId="0" fillId="0" borderId="12" xfId="0" applyBorder="1" applyAlignment="1">
      <alignment horizontal="right" vertical="center"/>
    </xf>
    <xf numFmtId="0" fontId="0" fillId="0" borderId="10" xfId="0" applyBorder="1" applyAlignment="1">
      <alignment horizontal="right" vertical="center"/>
    </xf>
    <xf numFmtId="0" fontId="0" fillId="3" borderId="0" xfId="0" applyFill="1" applyAlignment="1">
      <alignment vertical="center"/>
    </xf>
    <xf numFmtId="1" fontId="0" fillId="0" borderId="0" xfId="0" applyNumberFormat="1" applyAlignment="1">
      <alignment horizontal="center" vertical="center"/>
    </xf>
    <xf numFmtId="43" fontId="0" fillId="3" borderId="0" xfId="0" applyNumberFormat="1" applyFill="1"/>
    <xf numFmtId="0" fontId="0" fillId="3" borderId="0" xfId="0" applyFill="1"/>
    <xf numFmtId="9" fontId="0" fillId="3" borderId="11" xfId="2" applyFont="1" applyFill="1" applyBorder="1" applyAlignment="1">
      <alignment horizontal="right"/>
    </xf>
    <xf numFmtId="9" fontId="0" fillId="3" borderId="11" xfId="2" applyFont="1" applyFill="1" applyBorder="1"/>
    <xf numFmtId="165" fontId="0" fillId="0" borderId="11" xfId="1" applyNumberFormat="1" applyFont="1" applyFill="1" applyBorder="1" applyAlignment="1">
      <alignment horizontal="right" vertical="center"/>
    </xf>
    <xf numFmtId="165" fontId="0" fillId="0" borderId="15" xfId="1" applyNumberFormat="1" applyFont="1" applyFill="1" applyBorder="1" applyAlignment="1">
      <alignment horizontal="right" vertical="center"/>
    </xf>
    <xf numFmtId="165" fontId="0" fillId="0" borderId="13" xfId="1" applyNumberFormat="1" applyFont="1" applyFill="1" applyBorder="1" applyAlignment="1">
      <alignment horizontal="right"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0" fillId="14" borderId="0" xfId="0" applyFill="1" applyAlignment="1">
      <alignment horizontal="center" vertical="center" wrapText="1"/>
    </xf>
    <xf numFmtId="0" fontId="32" fillId="16" borderId="17" xfId="0" applyFont="1" applyFill="1" applyBorder="1" applyAlignment="1">
      <alignment horizontal="center" vertical="center" wrapText="1"/>
    </xf>
    <xf numFmtId="0" fontId="32" fillId="16" borderId="18" xfId="0" applyFont="1" applyFill="1" applyBorder="1" applyAlignment="1">
      <alignment horizontal="center" vertical="center" wrapText="1"/>
    </xf>
    <xf numFmtId="0" fontId="32" fillId="16" borderId="19" xfId="0" applyFont="1" applyFill="1" applyBorder="1" applyAlignment="1">
      <alignment horizontal="center" vertical="center" wrapText="1"/>
    </xf>
    <xf numFmtId="0" fontId="33" fillId="0" borderId="20" xfId="0" applyFont="1" applyBorder="1" applyAlignment="1">
      <alignment horizontal="center" vertical="center" wrapText="1"/>
    </xf>
    <xf numFmtId="0" fontId="31" fillId="0" borderId="0" xfId="0" applyFont="1"/>
    <xf numFmtId="0" fontId="31" fillId="0" borderId="0" xfId="0" applyFont="1" applyAlignment="1">
      <alignment vertical="center"/>
    </xf>
    <xf numFmtId="165" fontId="0" fillId="0" borderId="0" xfId="1" applyNumberFormat="1" applyFont="1" applyAlignment="1">
      <alignment vertical="center"/>
    </xf>
    <xf numFmtId="165" fontId="0" fillId="0" borderId="10" xfId="1" applyNumberFormat="1" applyFont="1" applyBorder="1" applyAlignment="1">
      <alignment vertical="center"/>
    </xf>
    <xf numFmtId="165" fontId="0" fillId="0" borderId="11" xfId="1" applyNumberFormat="1" applyFont="1" applyBorder="1" applyAlignment="1">
      <alignment vertical="center"/>
    </xf>
    <xf numFmtId="0" fontId="13" fillId="0" borderId="1" xfId="0" applyFont="1" applyBorder="1" applyAlignment="1">
      <alignment horizontal="center"/>
    </xf>
    <xf numFmtId="0" fontId="30" fillId="0" borderId="0" xfId="0" applyFont="1" applyAlignment="1">
      <alignment horizontal="center" vertical="center"/>
    </xf>
    <xf numFmtId="169" fontId="19" fillId="0" borderId="1" xfId="1" applyNumberFormat="1" applyFont="1" applyBorder="1" applyAlignment="1"/>
    <xf numFmtId="43" fontId="0" fillId="0" borderId="0" xfId="6" applyNumberFormat="1" applyFont="1" applyProtection="1"/>
    <xf numFmtId="43" fontId="0" fillId="0" borderId="0" xfId="1" applyFont="1"/>
    <xf numFmtId="165" fontId="2" fillId="0" borderId="0" xfId="1" applyNumberFormat="1" applyFont="1" applyAlignment="1"/>
    <xf numFmtId="165" fontId="1" fillId="4" borderId="0" xfId="1" applyNumberFormat="1" applyFont="1" applyFill="1" applyBorder="1" applyAlignment="1" applyProtection="1">
      <alignment horizontal="center"/>
      <protection locked="0"/>
    </xf>
    <xf numFmtId="0" fontId="13" fillId="0" borderId="0" xfId="0" applyFont="1" applyAlignment="1">
      <alignment horizontal="center" vertical="center"/>
    </xf>
    <xf numFmtId="0" fontId="0" fillId="0" borderId="0" xfId="0" applyAlignment="1">
      <alignment vertical="top"/>
    </xf>
    <xf numFmtId="165" fontId="0" fillId="0" borderId="0" xfId="1" applyNumberFormat="1" applyFont="1" applyAlignment="1">
      <alignment horizontal="left" vertical="center" indent="4"/>
    </xf>
    <xf numFmtId="165" fontId="0" fillId="0" borderId="1" xfId="1" applyNumberFormat="1" applyFont="1" applyFill="1" applyBorder="1" applyAlignment="1">
      <alignment horizontal="right" vertical="center"/>
    </xf>
    <xf numFmtId="165" fontId="0" fillId="0" borderId="0" xfId="1" applyNumberFormat="1" applyFont="1" applyFill="1" applyBorder="1" applyAlignment="1">
      <alignment horizontal="right" vertical="center"/>
    </xf>
    <xf numFmtId="165" fontId="0" fillId="0" borderId="5" xfId="1" applyNumberFormat="1" applyFont="1" applyFill="1" applyBorder="1" applyAlignment="1">
      <alignment horizontal="right" vertical="center"/>
    </xf>
    <xf numFmtId="0" fontId="34" fillId="0" borderId="0" xfId="0" applyFont="1"/>
    <xf numFmtId="0" fontId="32" fillId="16" borderId="20" xfId="0" applyFont="1" applyFill="1" applyBorder="1" applyAlignment="1">
      <alignment horizontal="center" vertical="center" wrapText="1"/>
    </xf>
    <xf numFmtId="0" fontId="30" fillId="0" borderId="0" xfId="0" applyFont="1" applyAlignment="1">
      <alignment horizontal="center" vertical="top"/>
    </xf>
    <xf numFmtId="0" fontId="0" fillId="11" borderId="0" xfId="0" applyFill="1" applyAlignment="1">
      <alignment vertical="top"/>
    </xf>
    <xf numFmtId="0" fontId="35" fillId="0" borderId="0" xfId="0" applyFont="1" applyAlignment="1">
      <alignment vertical="top"/>
    </xf>
    <xf numFmtId="164" fontId="0" fillId="19" borderId="28" xfId="7" applyFont="1" applyFill="1" applyBorder="1"/>
    <xf numFmtId="0" fontId="0" fillId="19" borderId="29" xfId="0" applyFill="1" applyBorder="1"/>
    <xf numFmtId="0" fontId="0" fillId="19" borderId="26" xfId="0" applyFill="1" applyBorder="1" applyAlignment="1">
      <alignment horizontal="left"/>
    </xf>
    <xf numFmtId="0" fontId="29" fillId="18" borderId="27" xfId="0" applyFont="1" applyFill="1" applyBorder="1"/>
    <xf numFmtId="164" fontId="29" fillId="18" borderId="14" xfId="7" applyFont="1" applyFill="1" applyBorder="1"/>
    <xf numFmtId="0" fontId="29" fillId="18" borderId="30" xfId="0" applyFont="1" applyFill="1" applyBorder="1"/>
    <xf numFmtId="0" fontId="0" fillId="19" borderId="27" xfId="0" applyFill="1" applyBorder="1"/>
    <xf numFmtId="164" fontId="0" fillId="19" borderId="14" xfId="7" applyFont="1" applyFill="1" applyBorder="1"/>
    <xf numFmtId="0" fontId="0" fillId="19" borderId="30" xfId="0" applyFill="1" applyBorder="1"/>
    <xf numFmtId="0" fontId="0" fillId="0" borderId="27" xfId="0" applyBorder="1"/>
    <xf numFmtId="164" fontId="0" fillId="0" borderId="14" xfId="7" applyFont="1" applyBorder="1"/>
    <xf numFmtId="0" fontId="0" fillId="0" borderId="30" xfId="0" applyBorder="1"/>
    <xf numFmtId="0" fontId="0" fillId="19" borderId="27" xfId="0" applyFill="1" applyBorder="1" applyAlignment="1">
      <alignment horizontal="left"/>
    </xf>
    <xf numFmtId="0" fontId="0" fillId="0" borderId="27" xfId="0" applyBorder="1" applyAlignment="1">
      <alignment horizontal="left"/>
    </xf>
    <xf numFmtId="165" fontId="2" fillId="3" borderId="8" xfId="1" applyNumberFormat="1" applyFont="1" applyFill="1" applyBorder="1"/>
    <xf numFmtId="0" fontId="0" fillId="3" borderId="0" xfId="0" applyFill="1" applyAlignment="1">
      <alignment horizontal="left"/>
    </xf>
    <xf numFmtId="43" fontId="0" fillId="3" borderId="0" xfId="0" applyNumberFormat="1" applyFill="1" applyAlignment="1">
      <alignment vertical="center"/>
    </xf>
    <xf numFmtId="165" fontId="0" fillId="4" borderId="0" xfId="1" applyNumberFormat="1" applyFont="1" applyFill="1" applyBorder="1" applyAlignment="1" applyProtection="1">
      <alignment vertical="center"/>
      <protection locked="0"/>
    </xf>
    <xf numFmtId="165" fontId="1" fillId="4" borderId="0" xfId="1" applyNumberFormat="1" applyFont="1" applyFill="1" applyBorder="1" applyProtection="1">
      <protection locked="0"/>
    </xf>
    <xf numFmtId="165" fontId="0" fillId="5" borderId="53" xfId="1" applyNumberFormat="1" applyFont="1" applyFill="1" applyBorder="1" applyProtection="1"/>
    <xf numFmtId="165" fontId="0" fillId="7" borderId="0" xfId="1" applyNumberFormat="1" applyFont="1" applyFill="1" applyBorder="1" applyAlignment="1" applyProtection="1">
      <alignment vertical="center"/>
    </xf>
    <xf numFmtId="165" fontId="0" fillId="7" borderId="53" xfId="0" applyNumberFormat="1" applyFill="1" applyBorder="1"/>
    <xf numFmtId="165" fontId="0" fillId="5" borderId="54" xfId="1" applyNumberFormat="1" applyFont="1" applyFill="1" applyBorder="1" applyProtection="1"/>
    <xf numFmtId="166" fontId="0" fillId="5" borderId="54" xfId="2" applyNumberFormat="1" applyFont="1" applyFill="1" applyBorder="1"/>
    <xf numFmtId="165" fontId="0" fillId="5" borderId="54" xfId="1" applyNumberFormat="1" applyFont="1" applyFill="1" applyBorder="1"/>
    <xf numFmtId="165" fontId="0" fillId="0" borderId="42" xfId="1" applyNumberFormat="1" applyFont="1" applyBorder="1"/>
    <xf numFmtId="0" fontId="0" fillId="0" borderId="22" xfId="0" applyBorder="1"/>
    <xf numFmtId="0" fontId="31" fillId="0" borderId="25" xfId="0" applyFont="1" applyBorder="1" applyAlignment="1">
      <alignment vertical="center"/>
    </xf>
    <xf numFmtId="0" fontId="0" fillId="0" borderId="21" xfId="0" applyBorder="1"/>
    <xf numFmtId="0" fontId="0" fillId="0" borderId="20" xfId="0" applyBorder="1"/>
    <xf numFmtId="0" fontId="2" fillId="0" borderId="25" xfId="0" applyFont="1" applyBorder="1"/>
    <xf numFmtId="0" fontId="0" fillId="0" borderId="25" xfId="0" applyBorder="1"/>
    <xf numFmtId="0" fontId="36" fillId="14" borderId="46" xfId="0" applyFont="1" applyFill="1" applyBorder="1" applyAlignment="1">
      <alignment horizontal="center"/>
    </xf>
    <xf numFmtId="0" fontId="37" fillId="0" borderId="50" xfId="0" applyFont="1" applyBorder="1" applyAlignment="1">
      <alignment horizontal="center"/>
    </xf>
    <xf numFmtId="0" fontId="36" fillId="0" borderId="35" xfId="0" applyFont="1" applyBorder="1"/>
    <xf numFmtId="0" fontId="0" fillId="0" borderId="31" xfId="0" applyBorder="1"/>
    <xf numFmtId="0" fontId="0" fillId="0" borderId="32" xfId="0" applyBorder="1"/>
    <xf numFmtId="0" fontId="37" fillId="0" borderId="43" xfId="0" applyFont="1" applyBorder="1" applyAlignment="1">
      <alignment horizontal="center"/>
    </xf>
    <xf numFmtId="0" fontId="36" fillId="0" borderId="55" xfId="0" applyFont="1" applyBorder="1"/>
    <xf numFmtId="0" fontId="0" fillId="0" borderId="47" xfId="0" applyBorder="1"/>
    <xf numFmtId="0" fontId="0" fillId="0" borderId="48" xfId="0" applyBorder="1"/>
    <xf numFmtId="0" fontId="37" fillId="0" borderId="49" xfId="0" applyFont="1" applyBorder="1" applyAlignment="1">
      <alignment horizontal="center"/>
    </xf>
    <xf numFmtId="0" fontId="37" fillId="0" borderId="44" xfId="0" applyFont="1" applyBorder="1" applyAlignment="1">
      <alignment horizontal="center"/>
    </xf>
    <xf numFmtId="0" fontId="0" fillId="0" borderId="0" xfId="0" applyAlignment="1">
      <alignment vertical="center" wrapText="1"/>
    </xf>
    <xf numFmtId="0" fontId="0" fillId="0" borderId="0" xfId="0" applyAlignment="1">
      <alignment wrapText="1"/>
    </xf>
    <xf numFmtId="0" fontId="28" fillId="0" borderId="0" xfId="0" applyFont="1" applyAlignment="1">
      <alignment horizontal="center" vertical="top" wrapText="1"/>
    </xf>
    <xf numFmtId="43" fontId="0" fillId="3" borderId="0" xfId="0" applyNumberFormat="1" applyFill="1" applyAlignment="1">
      <alignment horizontal="left" vertical="center"/>
    </xf>
    <xf numFmtId="0" fontId="0" fillId="3" borderId="0" xfId="0" applyFill="1" applyAlignment="1">
      <alignment horizontal="left" vertical="center"/>
    </xf>
    <xf numFmtId="165" fontId="0" fillId="0" borderId="0" xfId="1" applyNumberFormat="1" applyFont="1" applyAlignment="1" applyProtection="1"/>
    <xf numFmtId="0" fontId="14" fillId="0" borderId="16" xfId="0" applyFont="1" applyBorder="1" applyAlignment="1">
      <alignment horizontal="left" vertical="center" wrapText="1"/>
    </xf>
    <xf numFmtId="0" fontId="14" fillId="0" borderId="0" xfId="0" applyFont="1" applyAlignment="1">
      <alignment horizontal="left" vertical="center" wrapText="1"/>
    </xf>
    <xf numFmtId="0" fontId="14" fillId="0" borderId="15" xfId="0" applyFont="1" applyBorder="1" applyAlignment="1">
      <alignment horizontal="left" vertical="center" wrapText="1"/>
    </xf>
    <xf numFmtId="165" fontId="0" fillId="0" borderId="0" xfId="1" applyNumberFormat="1" applyFont="1" applyBorder="1" applyAlignment="1">
      <alignment horizontal="left"/>
    </xf>
    <xf numFmtId="165" fontId="0" fillId="0" borderId="15" xfId="1" applyNumberFormat="1" applyFont="1" applyBorder="1" applyAlignment="1">
      <alignment horizontal="left"/>
    </xf>
    <xf numFmtId="0" fontId="15" fillId="0" borderId="16" xfId="5" applyBorder="1" applyAlignment="1" applyProtection="1">
      <alignment horizontal="left" vertical="center"/>
    </xf>
    <xf numFmtId="0" fontId="15" fillId="0" borderId="0" xfId="5" applyBorder="1" applyAlignment="1" applyProtection="1">
      <alignment horizontal="left" vertical="center"/>
    </xf>
    <xf numFmtId="0" fontId="15" fillId="0" borderId="15" xfId="5" applyBorder="1" applyAlignment="1" applyProtection="1">
      <alignment horizontal="left" vertical="center"/>
    </xf>
    <xf numFmtId="43" fontId="23" fillId="0" borderId="0" xfId="1" applyFont="1" applyBorder="1" applyAlignment="1">
      <alignment horizontal="center"/>
    </xf>
    <xf numFmtId="10" fontId="2" fillId="6" borderId="10" xfId="2" applyNumberFormat="1" applyFont="1" applyFill="1" applyBorder="1" applyAlignment="1">
      <alignment horizontal="center" wrapText="1"/>
    </xf>
    <xf numFmtId="10" fontId="2" fillId="6" borderId="1" xfId="2" applyNumberFormat="1" applyFont="1" applyFill="1" applyBorder="1" applyAlignment="1">
      <alignment horizontal="center" wrapText="1"/>
    </xf>
    <xf numFmtId="10" fontId="2" fillId="6" borderId="11" xfId="2" applyNumberFormat="1" applyFont="1" applyFill="1" applyBorder="1" applyAlignment="1">
      <alignment horizontal="center" wrapText="1"/>
    </xf>
    <xf numFmtId="0" fontId="2" fillId="0" borderId="0" xfId="0" applyFont="1" applyAlignment="1">
      <alignment horizontal="left"/>
    </xf>
    <xf numFmtId="43" fontId="0" fillId="3" borderId="0" xfId="0" applyNumberFormat="1" applyFill="1" applyAlignment="1">
      <alignment horizontal="left"/>
    </xf>
    <xf numFmtId="0" fontId="0" fillId="3" borderId="0" xfId="0" applyFill="1" applyAlignment="1">
      <alignment horizontal="left"/>
    </xf>
    <xf numFmtId="165" fontId="19" fillId="0" borderId="0" xfId="1" applyNumberFormat="1" applyFont="1" applyBorder="1" applyAlignment="1">
      <alignment horizontal="right"/>
    </xf>
    <xf numFmtId="165" fontId="0" fillId="3" borderId="0" xfId="1" applyNumberFormat="1" applyFont="1" applyFill="1" applyBorder="1" applyAlignment="1">
      <alignment horizontal="center" wrapText="1"/>
    </xf>
    <xf numFmtId="165" fontId="19" fillId="0" borderId="1" xfId="1" applyNumberFormat="1" applyFont="1" applyBorder="1" applyAlignment="1">
      <alignment horizontal="right"/>
    </xf>
    <xf numFmtId="165" fontId="19" fillId="0" borderId="0" xfId="1" applyNumberFormat="1" applyFont="1" applyBorder="1" applyAlignment="1">
      <alignment horizontal="right" vertical="center"/>
    </xf>
    <xf numFmtId="165" fontId="19" fillId="0" borderId="0" xfId="1" applyNumberFormat="1" applyFont="1" applyBorder="1" applyAlignment="1">
      <alignment horizontal="center" vertical="center"/>
    </xf>
    <xf numFmtId="0" fontId="12" fillId="0" borderId="0" xfId="0" applyFont="1" applyAlignment="1">
      <alignment horizontal="center"/>
    </xf>
    <xf numFmtId="165" fontId="21" fillId="12" borderId="3" xfId="1" applyNumberFormat="1" applyFont="1" applyFill="1" applyBorder="1" applyAlignment="1">
      <alignment horizontal="right"/>
    </xf>
    <xf numFmtId="165" fontId="21" fillId="12" borderId="4" xfId="1" applyNumberFormat="1" applyFont="1" applyFill="1" applyBorder="1" applyAlignment="1">
      <alignment horizontal="right"/>
    </xf>
    <xf numFmtId="0" fontId="19" fillId="0" borderId="1" xfId="0" applyFont="1" applyBorder="1" applyAlignment="1">
      <alignment horizontal="right" indent="1"/>
    </xf>
    <xf numFmtId="0" fontId="19" fillId="0" borderId="1" xfId="0" applyFont="1" applyBorder="1" applyAlignment="1">
      <alignment horizontal="right"/>
    </xf>
    <xf numFmtId="0" fontId="2" fillId="0" borderId="0" xfId="0" applyFont="1" applyAlignment="1">
      <alignment horizontal="right"/>
    </xf>
    <xf numFmtId="0" fontId="0" fillId="0" borderId="0" xfId="0" applyAlignment="1">
      <alignment horizontal="center" vertical="center" wrapText="1"/>
    </xf>
    <xf numFmtId="0" fontId="0" fillId="0" borderId="0" xfId="0" applyAlignment="1">
      <alignment horizontal="center" vertical="center"/>
    </xf>
    <xf numFmtId="0" fontId="2" fillId="0" borderId="1" xfId="0" applyFont="1" applyBorder="1" applyAlignment="1">
      <alignment horizontal="right"/>
    </xf>
    <xf numFmtId="0" fontId="0" fillId="4" borderId="0" xfId="0" applyFill="1" applyAlignment="1" applyProtection="1">
      <alignment horizontal="center" vertical="center" wrapText="1"/>
      <protection locked="0"/>
    </xf>
    <xf numFmtId="0" fontId="19" fillId="0" borderId="0" xfId="0" applyFont="1" applyAlignment="1">
      <alignment horizontal="center"/>
    </xf>
    <xf numFmtId="43" fontId="0" fillId="3" borderId="0" xfId="1" applyFont="1" applyFill="1" applyBorder="1" applyAlignment="1" applyProtection="1">
      <alignment horizontal="center" vertical="center"/>
      <protection hidden="1"/>
    </xf>
    <xf numFmtId="43" fontId="0" fillId="3" borderId="15" xfId="1" applyFont="1" applyFill="1" applyBorder="1" applyAlignment="1" applyProtection="1">
      <alignment horizontal="center" vertical="center"/>
      <protection hidden="1"/>
    </xf>
    <xf numFmtId="0" fontId="0" fillId="4" borderId="0" xfId="0" applyFill="1" applyAlignment="1" applyProtection="1">
      <alignment horizontal="center" vertical="center"/>
      <protection locked="0"/>
    </xf>
    <xf numFmtId="0" fontId="0" fillId="0" borderId="0" xfId="0" applyAlignment="1" applyProtection="1">
      <alignment horizontal="center"/>
      <protection hidden="1"/>
    </xf>
    <xf numFmtId="0" fontId="0" fillId="14" borderId="0" xfId="0" applyFill="1" applyAlignment="1">
      <alignment horizontal="center" vertical="center" wrapText="1"/>
    </xf>
    <xf numFmtId="0" fontId="0" fillId="0" borderId="0" xfId="0" applyAlignment="1" applyProtection="1">
      <alignment horizontal="center" vertical="top" wrapText="1"/>
      <protection hidden="1"/>
    </xf>
    <xf numFmtId="0" fontId="0" fillId="0" borderId="0" xfId="0" applyAlignment="1" applyProtection="1">
      <alignment horizontal="center" wrapText="1"/>
      <protection hidden="1"/>
    </xf>
    <xf numFmtId="0" fontId="2" fillId="0" borderId="0" xfId="0" applyFont="1" applyAlignment="1">
      <alignment horizontal="right" wrapText="1"/>
    </xf>
    <xf numFmtId="0" fontId="13" fillId="0" borderId="0" xfId="0" applyFont="1" applyAlignment="1">
      <alignment horizontal="center" vertical="center"/>
    </xf>
    <xf numFmtId="0" fontId="30" fillId="0" borderId="0" xfId="0" applyFont="1" applyAlignment="1">
      <alignment horizontal="center" vertical="center"/>
    </xf>
    <xf numFmtId="0" fontId="36" fillId="14" borderId="38" xfId="0" applyFont="1" applyFill="1" applyBorder="1" applyAlignment="1">
      <alignment horizontal="left"/>
    </xf>
    <xf numFmtId="0" fontId="36" fillId="14" borderId="39" xfId="0" applyFont="1" applyFill="1" applyBorder="1" applyAlignment="1">
      <alignment horizontal="left"/>
    </xf>
    <xf numFmtId="0" fontId="36" fillId="0" borderId="41" xfId="0" applyFont="1" applyBorder="1" applyAlignment="1">
      <alignment horizontal="left"/>
    </xf>
    <xf numFmtId="0" fontId="36" fillId="0" borderId="42" xfId="0" applyFont="1" applyBorder="1" applyAlignment="1">
      <alignment horizontal="left"/>
    </xf>
    <xf numFmtId="0" fontId="21" fillId="17" borderId="23" xfId="0" applyFont="1" applyFill="1" applyBorder="1" applyAlignment="1">
      <alignment horizontal="center" vertical="center"/>
    </xf>
    <xf numFmtId="0" fontId="21" fillId="17" borderId="24" xfId="0" applyFont="1" applyFill="1" applyBorder="1" applyAlignment="1">
      <alignment horizontal="center" vertical="center"/>
    </xf>
    <xf numFmtId="0" fontId="21" fillId="17" borderId="18" xfId="0" applyFont="1" applyFill="1" applyBorder="1" applyAlignment="1">
      <alignment horizontal="center" vertical="center"/>
    </xf>
    <xf numFmtId="0" fontId="21" fillId="15" borderId="23" xfId="0" applyFont="1" applyFill="1" applyBorder="1" applyAlignment="1">
      <alignment horizontal="center"/>
    </xf>
    <xf numFmtId="0" fontId="21" fillId="15" borderId="24" xfId="0" applyFont="1" applyFill="1" applyBorder="1" applyAlignment="1">
      <alignment horizontal="center"/>
    </xf>
    <xf numFmtId="0" fontId="21" fillId="15" borderId="18" xfId="0" applyFont="1" applyFill="1" applyBorder="1" applyAlignment="1">
      <alignment horizontal="center"/>
    </xf>
    <xf numFmtId="0" fontId="0" fillId="0" borderId="0" xfId="0" applyAlignment="1">
      <alignment horizontal="center"/>
    </xf>
    <xf numFmtId="0" fontId="0" fillId="0" borderId="22"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36" fillId="15" borderId="51" xfId="0" applyFont="1" applyFill="1" applyBorder="1" applyAlignment="1">
      <alignment horizontal="center"/>
    </xf>
    <xf numFmtId="0" fontId="36" fillId="15" borderId="52" xfId="0" applyFont="1" applyFill="1" applyBorder="1" applyAlignment="1">
      <alignment horizontal="center"/>
    </xf>
    <xf numFmtId="0" fontId="36" fillId="15" borderId="45" xfId="0" applyFont="1" applyFill="1" applyBorder="1" applyAlignment="1">
      <alignment horizontal="center"/>
    </xf>
    <xf numFmtId="0" fontId="36" fillId="0" borderId="34" xfId="0" applyFont="1" applyBorder="1" applyAlignment="1">
      <alignment horizontal="left"/>
    </xf>
    <xf numFmtId="0" fontId="36" fillId="0" borderId="33" xfId="0" applyFont="1" applyBorder="1" applyAlignment="1">
      <alignment horizontal="left"/>
    </xf>
    <xf numFmtId="0" fontId="36" fillId="0" borderId="36" xfId="0" applyFont="1" applyBorder="1" applyAlignment="1">
      <alignment horizontal="left"/>
    </xf>
    <xf numFmtId="0" fontId="36" fillId="0" borderId="37" xfId="0" applyFont="1" applyBorder="1" applyAlignment="1">
      <alignment horizontal="left"/>
    </xf>
    <xf numFmtId="0" fontId="36" fillId="14" borderId="40" xfId="0" applyFont="1" applyFill="1" applyBorder="1" applyAlignment="1">
      <alignment horizontal="left"/>
    </xf>
    <xf numFmtId="0" fontId="2" fillId="0" borderId="5" xfId="0" applyFont="1" applyBorder="1" applyAlignment="1">
      <alignment horizontal="center"/>
    </xf>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6" xfId="0" applyFont="1" applyFill="1" applyBorder="1" applyAlignment="1">
      <alignment horizontal="center"/>
    </xf>
    <xf numFmtId="0" fontId="2" fillId="5" borderId="7" xfId="0" applyFont="1" applyFill="1" applyBorder="1" applyAlignment="1">
      <alignment horizontal="center"/>
    </xf>
    <xf numFmtId="0" fontId="2" fillId="5" borderId="8" xfId="0" applyFont="1" applyFill="1" applyBorder="1" applyAlignment="1">
      <alignment horizontal="center"/>
    </xf>
  </cellXfs>
  <cellStyles count="8">
    <cellStyle name="Comma" xfId="1" builtinId="3"/>
    <cellStyle name="Currency" xfId="6" builtinId="4"/>
    <cellStyle name="Currency 2" xfId="7" xr:uid="{0E04DA79-E223-4E3B-A18E-8CEABBE790AD}"/>
    <cellStyle name="Hyperlink" xfId="5" builtinId="8"/>
    <cellStyle name="Normal" xfId="0" builtinId="0"/>
    <cellStyle name="Normal 2" xfId="3" xr:uid="{00000000-0005-0000-0000-000004000000}"/>
    <cellStyle name="Percent" xfId="2" builtinId="5"/>
    <cellStyle name="Percent 2" xfId="4" xr:uid="{00000000-0005-0000-0000-000006000000}"/>
  </cellStyles>
  <dxfs count="6">
    <dxf>
      <font>
        <color rgb="FF00B0F0"/>
      </font>
    </dxf>
    <dxf>
      <font>
        <color rgb="FF00B0F0"/>
      </font>
    </dxf>
    <dxf>
      <font>
        <color theme="0" tint="-0.34998626667073579"/>
      </font>
    </dxf>
    <dxf>
      <font>
        <color theme="0" tint="-0.24994659260841701"/>
      </font>
    </dxf>
    <dxf>
      <fill>
        <patternFill>
          <bgColor rgb="FF92D05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304800</xdr:colOff>
      <xdr:row>20</xdr:row>
      <xdr:rowOff>38099</xdr:rowOff>
    </xdr:from>
    <xdr:to>
      <xdr:col>3</xdr:col>
      <xdr:colOff>142875</xdr:colOff>
      <xdr:row>22</xdr:row>
      <xdr:rowOff>48682</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533400" y="4419599"/>
          <a:ext cx="1057275" cy="391583"/>
        </a:xfrm>
        <a:prstGeom prst="rect">
          <a:avLst/>
        </a:prstGeom>
      </xdr:spPr>
    </xdr:pic>
    <xdr:clientData/>
  </xdr:twoCellAnchor>
  <xdr:twoCellAnchor editAs="oneCell">
    <xdr:from>
      <xdr:col>7</xdr:col>
      <xdr:colOff>561976</xdr:colOff>
      <xdr:row>19</xdr:row>
      <xdr:rowOff>19050</xdr:rowOff>
    </xdr:from>
    <xdr:to>
      <xdr:col>10</xdr:col>
      <xdr:colOff>349342</xdr:colOff>
      <xdr:row>23</xdr:row>
      <xdr:rowOff>104775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4448176" y="3638550"/>
          <a:ext cx="1616166" cy="847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825501</xdr:colOff>
      <xdr:row>125</xdr:row>
      <xdr:rowOff>179917</xdr:rowOff>
    </xdr:from>
    <xdr:to>
      <xdr:col>10</xdr:col>
      <xdr:colOff>179920</xdr:colOff>
      <xdr:row>126</xdr:row>
      <xdr:rowOff>148166</xdr:rowOff>
    </xdr:to>
    <xdr:cxnSp macro="">
      <xdr:nvCxnSpPr>
        <xdr:cNvPr id="5" name="Elbow Connector 4">
          <a:extLst>
            <a:ext uri="{FF2B5EF4-FFF2-40B4-BE49-F238E27FC236}">
              <a16:creationId xmlns:a16="http://schemas.microsoft.com/office/drawing/2014/main" id="{00000000-0008-0000-0300-000005000000}"/>
            </a:ext>
          </a:extLst>
        </xdr:cNvPr>
        <xdr:cNvCxnSpPr/>
      </xdr:nvCxnSpPr>
      <xdr:spPr>
        <a:xfrm rot="10800000" flipV="1">
          <a:off x="8921751" y="23357417"/>
          <a:ext cx="402169" cy="15874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825501</xdr:colOff>
      <xdr:row>90</xdr:row>
      <xdr:rowOff>179917</xdr:rowOff>
    </xdr:from>
    <xdr:to>
      <xdr:col>8</xdr:col>
      <xdr:colOff>179920</xdr:colOff>
      <xdr:row>91</xdr:row>
      <xdr:rowOff>148166</xdr:rowOff>
    </xdr:to>
    <xdr:cxnSp macro="">
      <xdr:nvCxnSpPr>
        <xdr:cNvPr id="6" name="Elbow Connector 5">
          <a:extLst>
            <a:ext uri="{FF2B5EF4-FFF2-40B4-BE49-F238E27FC236}">
              <a16:creationId xmlns:a16="http://schemas.microsoft.com/office/drawing/2014/main" id="{00000000-0008-0000-0400-000006000000}"/>
            </a:ext>
          </a:extLst>
        </xdr:cNvPr>
        <xdr:cNvCxnSpPr/>
      </xdr:nvCxnSpPr>
      <xdr:spPr>
        <a:xfrm rot="10800000" flipV="1">
          <a:off x="8902701" y="23468542"/>
          <a:ext cx="402169" cy="158749"/>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mhcschl-my.sharepoint.com/personal/jlaycock_cmhc-schl_gc_ca/Documents/Documents/RCFi/Projects/ACLP%20Reform/Evan%20Scorecard%20Calculator.xlsx" TargetMode="External"/><Relationship Id="rId1" Type="http://schemas.openxmlformats.org/officeDocument/2006/relationships/externalLinkPath" Target="/personal/jlaycock_cmhc-schl_gc_ca/Documents/Documents/RCFi/Projects/ACLP%20Reform/Evan%20Scorecard%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SenAq9aYqUW5I3JUa0EgkUIJoL2vi4tKqjar-hTYvEXQgCNWqRlxT7t9RXZXbkrU" itemId="01BRDAZ5WEEYTGJOI3SFFISZSJ7FILLNPT">
      <xxl21:absoluteUrl r:id="rId2"/>
    </xxl21:alternateUrls>
    <sheetNames>
      <sheetName val="Priorities"/>
      <sheetName val="Max Score"/>
      <sheetName val="MHHI to Cost"/>
      <sheetName val="Irakli Matrix"/>
      <sheetName val="Evaluation Conditions"/>
      <sheetName val="Evaluation Criterion Points"/>
      <sheetName val="Option 1 (2)"/>
      <sheetName val="Scorecard (V4) (2)"/>
      <sheetName val="Scorecard (V4)"/>
      <sheetName val="Under Construction (V5)"/>
      <sheetName val="Under Construction (V5) (2)"/>
      <sheetName val="Under Construction (V7)"/>
      <sheetName val="MRI"/>
      <sheetName val="Under Construction (V10)"/>
      <sheetName val="Under Construction (V9)"/>
      <sheetName val="Under Construction (V8)"/>
      <sheetName val="Notes"/>
      <sheetName val="Under Construction (V6)"/>
      <sheetName val="BC Builds"/>
      <sheetName val="Heat Map"/>
      <sheetName val="Affordability Possibility"/>
      <sheetName val="Scorecard (V3) Ottawa"/>
      <sheetName val="Scorecard (V3) Toronto"/>
      <sheetName val="Scorecard (V3) Calgary"/>
      <sheetName val="Scorecard (V3) Halifax"/>
      <sheetName val="Scorecard (V3) Montreal"/>
      <sheetName val="Scorecard (V3) Winnipeg"/>
      <sheetName val="Scorecard (V3) Vancouver"/>
      <sheetName val="Scorecard (V2)"/>
      <sheetName val="Loan Flexibilities Scorecard"/>
      <sheetName val="Market Adj."/>
      <sheetName val="Market Adj. Update"/>
      <sheetName val="2020MRI"/>
      <sheetName val="Irakli Markets"/>
      <sheetName val="Evan Scorecard Calcula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8">
          <cell r="J8" t="str">
            <v>Part 3 of the NBC</v>
          </cell>
        </row>
        <row r="9">
          <cell r="J9" t="str">
            <v>Pat 9 of the NBC</v>
          </cell>
        </row>
      </sheetData>
      <sheetData sheetId="29" refreshError="1"/>
      <sheetData sheetId="30" refreshError="1"/>
      <sheetData sheetId="31"/>
      <sheetData sheetId="32" refreshError="1"/>
      <sheetData sheetId="33" refreshError="1"/>
      <sheetData sheetId="3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150.statcan.gc.ca/t1/tbl1/en/tv.action?pid=1110000901&amp;request_locale=en" TargetMode="External"/><Relationship Id="rId1" Type="http://schemas.openxmlformats.org/officeDocument/2006/relationships/hyperlink" Target="http://www.statcan.gc.ca/tables-tableaux/sum-som/l01/cst01/famil107a-eng.ht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B1:K19"/>
  <sheetViews>
    <sheetView showGridLines="0" workbookViewId="0">
      <selection activeCell="F2" sqref="F2"/>
    </sheetView>
  </sheetViews>
  <sheetFormatPr defaultRowHeight="14.6"/>
  <cols>
    <col min="1" max="1" width="3.4609375" customWidth="1"/>
  </cols>
  <sheetData>
    <row r="1" spans="2:11">
      <c r="B1" t="s">
        <v>0</v>
      </c>
    </row>
    <row r="4" spans="2:11">
      <c r="B4" s="402" t="s">
        <v>1</v>
      </c>
      <c r="C4" s="402"/>
      <c r="D4" s="402"/>
      <c r="E4" s="402"/>
      <c r="F4" s="402"/>
      <c r="G4" s="402"/>
      <c r="H4" s="402"/>
      <c r="I4" s="402"/>
      <c r="J4" s="402"/>
      <c r="K4" s="402"/>
    </row>
    <row r="5" spans="2:11">
      <c r="B5" s="402"/>
      <c r="C5" s="402"/>
      <c r="D5" s="402"/>
      <c r="E5" s="402"/>
      <c r="F5" s="402"/>
      <c r="G5" s="402"/>
      <c r="H5" s="402"/>
      <c r="I5" s="402"/>
      <c r="J5" s="402"/>
      <c r="K5" s="402"/>
    </row>
    <row r="6" spans="2:11">
      <c r="B6" s="402"/>
      <c r="C6" s="402"/>
      <c r="D6" s="402"/>
      <c r="E6" s="402"/>
      <c r="F6" s="402"/>
      <c r="G6" s="402"/>
      <c r="H6" s="402"/>
      <c r="I6" s="402"/>
      <c r="J6" s="402"/>
      <c r="K6" s="402"/>
    </row>
    <row r="7" spans="2:11">
      <c r="B7" s="402"/>
      <c r="C7" s="402"/>
      <c r="D7" s="402"/>
      <c r="E7" s="402"/>
      <c r="F7" s="402"/>
      <c r="G7" s="402"/>
      <c r="H7" s="402"/>
      <c r="I7" s="402"/>
      <c r="J7" s="402"/>
      <c r="K7" s="402"/>
    </row>
    <row r="8" spans="2:11">
      <c r="B8" s="402"/>
      <c r="C8" s="402"/>
      <c r="D8" s="402"/>
      <c r="E8" s="402"/>
      <c r="F8" s="402"/>
      <c r="G8" s="402"/>
      <c r="H8" s="402"/>
      <c r="I8" s="402"/>
      <c r="J8" s="402"/>
      <c r="K8" s="402"/>
    </row>
    <row r="9" spans="2:11">
      <c r="B9" s="402"/>
      <c r="C9" s="402"/>
      <c r="D9" s="402"/>
      <c r="E9" s="402"/>
      <c r="F9" s="402"/>
      <c r="G9" s="402"/>
      <c r="H9" s="402"/>
      <c r="I9" s="402"/>
      <c r="J9" s="402"/>
      <c r="K9" s="402"/>
    </row>
    <row r="10" spans="2:11">
      <c r="B10" s="402"/>
      <c r="C10" s="402"/>
      <c r="D10" s="402"/>
      <c r="E10" s="402"/>
      <c r="F10" s="402"/>
      <c r="G10" s="402"/>
      <c r="H10" s="402"/>
      <c r="I10" s="402"/>
      <c r="J10" s="402"/>
      <c r="K10" s="402"/>
    </row>
    <row r="11" spans="2:11">
      <c r="B11" s="402"/>
      <c r="C11" s="402"/>
      <c r="D11" s="402"/>
      <c r="E11" s="402"/>
      <c r="F11" s="402"/>
      <c r="G11" s="402"/>
      <c r="H11" s="402"/>
      <c r="I11" s="402"/>
      <c r="J11" s="402"/>
      <c r="K11" s="402"/>
    </row>
    <row r="12" spans="2:11">
      <c r="B12" s="402"/>
      <c r="C12" s="402"/>
      <c r="D12" s="402"/>
      <c r="E12" s="402"/>
      <c r="F12" s="402"/>
      <c r="G12" s="402"/>
      <c r="H12" s="402"/>
      <c r="I12" s="402"/>
      <c r="J12" s="402"/>
      <c r="K12" s="402"/>
    </row>
    <row r="13" spans="2:11">
      <c r="B13" s="402"/>
      <c r="C13" s="402"/>
      <c r="D13" s="402"/>
      <c r="E13" s="402"/>
      <c r="F13" s="402"/>
      <c r="G13" s="402"/>
      <c r="H13" s="402"/>
      <c r="I13" s="402"/>
      <c r="J13" s="402"/>
      <c r="K13" s="402"/>
    </row>
    <row r="14" spans="2:11">
      <c r="B14" s="402"/>
      <c r="C14" s="402"/>
      <c r="D14" s="402"/>
      <c r="E14" s="402"/>
      <c r="F14" s="402"/>
      <c r="G14" s="402"/>
      <c r="H14" s="402"/>
      <c r="I14" s="402"/>
      <c r="J14" s="402"/>
      <c r="K14" s="402"/>
    </row>
    <row r="15" spans="2:11">
      <c r="B15" s="402"/>
      <c r="C15" s="402"/>
      <c r="D15" s="402"/>
      <c r="E15" s="402"/>
      <c r="F15" s="402"/>
      <c r="G15" s="402"/>
      <c r="H15" s="402"/>
      <c r="I15" s="402"/>
      <c r="J15" s="402"/>
      <c r="K15" s="402"/>
    </row>
    <row r="16" spans="2:11">
      <c r="B16" s="403" t="s">
        <v>2</v>
      </c>
      <c r="C16" s="403"/>
      <c r="D16" s="403"/>
      <c r="E16" s="403"/>
      <c r="F16" s="403"/>
      <c r="G16" s="403"/>
      <c r="H16" s="403"/>
      <c r="I16" s="403"/>
      <c r="J16" s="403"/>
      <c r="K16" s="403"/>
    </row>
    <row r="17" spans="2:11">
      <c r="B17" s="403"/>
      <c r="C17" s="403"/>
      <c r="D17" s="403"/>
      <c r="E17" s="403"/>
      <c r="F17" s="403"/>
      <c r="G17" s="403"/>
      <c r="H17" s="403"/>
      <c r="I17" s="403"/>
      <c r="J17" s="403"/>
      <c r="K17" s="403"/>
    </row>
    <row r="18" spans="2:11">
      <c r="B18" s="403"/>
      <c r="C18" s="403"/>
      <c r="D18" s="403"/>
      <c r="E18" s="403"/>
      <c r="F18" s="403"/>
      <c r="G18" s="403"/>
      <c r="H18" s="403"/>
      <c r="I18" s="403"/>
      <c r="J18" s="403"/>
      <c r="K18" s="403"/>
    </row>
    <row r="19" spans="2:11">
      <c r="B19" s="403"/>
      <c r="C19" s="403"/>
      <c r="D19" s="403"/>
      <c r="E19" s="403"/>
      <c r="F19" s="403"/>
      <c r="G19" s="403"/>
      <c r="H19" s="403"/>
      <c r="I19" s="403"/>
      <c r="J19" s="403"/>
      <c r="K19" s="403"/>
    </row>
  </sheetData>
  <sheetProtection algorithmName="SHA-512" hashValue="9Hd5HbdK+/uS/Ms5sUJIaYBIx8jlteyoQljbv37z28pcBKC8lnNIYpq18Ou+DwvVvAxajzI0W7pK8/UmN2yApQ==" saltValue="mr0o6LyDTnlM0Y0lx22cYQ==" spinCount="100000" sheet="1" objects="1" scenarios="1"/>
  <mergeCells count="2">
    <mergeCell ref="B4:K15"/>
    <mergeCell ref="B16:K19"/>
  </mergeCells>
  <pageMargins left="0.7" right="0.7" top="0.75" bottom="0.75" header="0.3" footer="0.3"/>
  <pageSetup orientation="portrait" r:id="rId1"/>
  <headerFooter>
    <oddHeader>&amp;C&amp;"Calibri"&amp;10&amp;K000000 Unclassified-Non classifié&amp;1#_x000D_</oddHeader>
    <oddFooter>&amp;C_x000D_&amp;1#&amp;"Calibri"&amp;10&amp;K000000 Unclassified-Non classifié</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O37"/>
  <sheetViews>
    <sheetView showGridLines="0" tabSelected="1" zoomScale="90" zoomScaleNormal="90" workbookViewId="0">
      <pane ySplit="12" topLeftCell="A13" activePane="bottomLeft" state="frozen"/>
      <selection activeCell="B39" sqref="B39"/>
      <selection pane="bottomLeft" activeCell="E29" sqref="E29"/>
    </sheetView>
  </sheetViews>
  <sheetFormatPr defaultRowHeight="14.6"/>
  <cols>
    <col min="1" max="1" width="2.69140625" customWidth="1"/>
    <col min="2" max="2" width="36.84375" customWidth="1"/>
    <col min="3" max="3" width="10.4609375" customWidth="1"/>
    <col min="4" max="4" width="2.69140625" customWidth="1"/>
    <col min="5" max="5" width="25.15234375" customWidth="1"/>
    <col min="6" max="6" width="4" customWidth="1"/>
    <col min="7" max="7" width="34" customWidth="1"/>
    <col min="8" max="8" width="3.53515625" customWidth="1"/>
    <col min="9" max="9" width="2.69140625" customWidth="1"/>
  </cols>
  <sheetData>
    <row r="1" spans="1:9">
      <c r="A1" s="111"/>
      <c r="B1" s="65" t="s">
        <v>3</v>
      </c>
      <c r="C1" s="65"/>
      <c r="D1" s="65"/>
      <c r="E1" s="66"/>
      <c r="F1" s="65"/>
      <c r="G1" s="65"/>
      <c r="H1" s="65"/>
      <c r="I1" s="112"/>
    </row>
    <row r="2" spans="1:9" ht="6" customHeight="1">
      <c r="A2" s="110"/>
      <c r="B2" s="110"/>
      <c r="C2" s="110"/>
      <c r="D2" s="110"/>
      <c r="E2" s="110"/>
      <c r="F2" s="110"/>
      <c r="G2" s="110"/>
      <c r="H2" s="110"/>
      <c r="I2" s="112"/>
    </row>
    <row r="3" spans="1:9">
      <c r="B3" t="s">
        <v>4</v>
      </c>
      <c r="C3" s="259">
        <f>IF(OR(('Residential New'!I113+'Non-Residential'!H79)=0, ISERR(('Residential New'!I113+'Non-Residential'!H79))), 0, ('Residential New'!I104+'Non-Residential'!H71)/('Residential New'!I113+'Non-Residential'!H79))</f>
        <v>0</v>
      </c>
      <c r="E3" t="s">
        <v>5</v>
      </c>
      <c r="G3" s="265">
        <f>IF('Project Budget'!E25=0, 0, ('Residential New'!I109+'Non-Residential'!H75)/'Project Budget'!E25)</f>
        <v>0</v>
      </c>
      <c r="H3" s="265"/>
      <c r="I3" s="112"/>
    </row>
    <row r="4" spans="1:9">
      <c r="B4" s="72" t="s">
        <v>6</v>
      </c>
      <c r="C4" s="261">
        <f>'Residential New'!I114</f>
        <v>0</v>
      </c>
      <c r="E4" t="s">
        <v>7</v>
      </c>
      <c r="G4" s="266">
        <f>'Residential New'!I119</f>
        <v>0</v>
      </c>
      <c r="H4" s="266"/>
      <c r="I4" s="112"/>
    </row>
    <row r="5" spans="1:9">
      <c r="B5" t="s">
        <v>8</v>
      </c>
      <c r="C5" s="259">
        <f>'Non-Residential'!H80</f>
        <v>0</v>
      </c>
      <c r="E5" t="s">
        <v>9</v>
      </c>
      <c r="G5" s="266">
        <f>'Non-Residential'!H85</f>
        <v>0</v>
      </c>
      <c r="H5" s="266"/>
      <c r="I5" s="112"/>
    </row>
    <row r="6" spans="1:9">
      <c r="B6" s="257" t="s">
        <v>10</v>
      </c>
      <c r="C6" s="51" t="str">
        <f>'Residential New'!L37</f>
        <v>No</v>
      </c>
      <c r="E6" t="s">
        <v>11</v>
      </c>
      <c r="F6" s="72"/>
      <c r="G6" s="264">
        <f>'Residential New'!I109+'Non-Residential'!H75</f>
        <v>0</v>
      </c>
      <c r="H6" s="264"/>
      <c r="I6" s="112"/>
    </row>
    <row r="7" spans="1:9">
      <c r="B7" t="s">
        <v>12</v>
      </c>
      <c r="C7" s="321">
        <f>Scoring!H92</f>
        <v>0</v>
      </c>
      <c r="E7" t="s">
        <v>13</v>
      </c>
      <c r="F7" s="72"/>
      <c r="G7" s="260">
        <f>'Residential New'!I126+'Non-Residential'!H91</f>
        <v>0</v>
      </c>
      <c r="H7" s="260"/>
      <c r="I7" s="112"/>
    </row>
    <row r="8" spans="1:9" ht="3" customHeight="1">
      <c r="B8" s="110"/>
      <c r="C8" s="110"/>
      <c r="D8" s="110"/>
      <c r="E8" s="110"/>
      <c r="F8" s="110"/>
      <c r="G8" s="110"/>
      <c r="H8" s="110"/>
      <c r="I8" s="112"/>
    </row>
    <row r="9" spans="1:9" ht="15" customHeight="1">
      <c r="B9" s="262" t="s">
        <v>14</v>
      </c>
      <c r="C9" s="314">
        <f>Scoring!H130</f>
        <v>0</v>
      </c>
      <c r="D9" s="320"/>
      <c r="E9" s="405" t="str">
        <f>Scoring!C155</f>
        <v>Tier 3 - Up to 90% LTC, 45 yrs Am, 10 yr term</v>
      </c>
      <c r="F9" s="406"/>
      <c r="G9" s="406"/>
      <c r="H9" s="314"/>
      <c r="I9" s="112"/>
    </row>
    <row r="10" spans="1:9" ht="3" customHeight="1">
      <c r="A10" s="110"/>
      <c r="B10" s="110"/>
      <c r="C10" s="110"/>
      <c r="D10" s="110"/>
      <c r="E10" s="110"/>
      <c r="F10" s="110"/>
      <c r="G10" s="110"/>
      <c r="H10" s="110"/>
      <c r="I10" s="112"/>
    </row>
    <row r="11" spans="1:9" ht="3" customHeight="1">
      <c r="A11" s="112"/>
      <c r="B11" s="65"/>
      <c r="C11" s="65"/>
      <c r="D11" s="65"/>
      <c r="E11" s="65"/>
      <c r="F11" s="65"/>
      <c r="G11" s="65"/>
      <c r="H11" s="65"/>
      <c r="I11" s="112"/>
    </row>
    <row r="12" spans="1:9" ht="15" customHeight="1"/>
    <row r="13" spans="1:9">
      <c r="A13" s="100"/>
      <c r="B13" s="65" t="s">
        <v>15</v>
      </c>
      <c r="C13" s="65"/>
      <c r="D13" s="65"/>
      <c r="E13" s="66"/>
      <c r="F13" s="65"/>
      <c r="G13" s="65"/>
      <c r="H13" s="65"/>
      <c r="I13" s="97"/>
    </row>
    <row r="14" spans="1:9" ht="16.5" customHeight="1">
      <c r="E14" s="38"/>
      <c r="H14" s="256"/>
      <c r="I14" s="97"/>
    </row>
    <row r="15" spans="1:9">
      <c r="B15" s="103" t="s">
        <v>16</v>
      </c>
      <c r="C15" s="105"/>
      <c r="D15" s="105"/>
      <c r="E15" s="104" t="s">
        <v>17</v>
      </c>
      <c r="H15" s="256"/>
      <c r="I15" s="97"/>
    </row>
    <row r="16" spans="1:9">
      <c r="B16" s="108"/>
      <c r="I16" s="97"/>
    </row>
    <row r="17" spans="2:15">
      <c r="B17" s="197" t="s">
        <v>18</v>
      </c>
      <c r="C17" s="1"/>
      <c r="D17" s="1"/>
      <c r="E17" s="89"/>
      <c r="I17" s="97"/>
    </row>
    <row r="18" spans="2:15">
      <c r="B18" s="106" t="s">
        <v>19</v>
      </c>
      <c r="C18" s="1"/>
      <c r="D18" s="1"/>
      <c r="E18" s="89"/>
      <c r="I18" s="97"/>
    </row>
    <row r="19" spans="2:15">
      <c r="B19" s="106" t="s">
        <v>20</v>
      </c>
      <c r="C19" s="1"/>
      <c r="D19" s="1"/>
      <c r="E19" s="89"/>
      <c r="I19" s="97"/>
    </row>
    <row r="20" spans="2:15" ht="14.5" customHeight="1">
      <c r="B20" s="106" t="s">
        <v>21</v>
      </c>
      <c r="C20" s="1"/>
      <c r="D20" s="1"/>
      <c r="E20" s="89"/>
      <c r="I20" s="97"/>
    </row>
    <row r="21" spans="2:15">
      <c r="B21" s="106" t="s">
        <v>22</v>
      </c>
      <c r="C21" s="1"/>
      <c r="D21" s="1"/>
      <c r="E21" s="89"/>
      <c r="I21" s="97"/>
    </row>
    <row r="22" spans="2:15" ht="15.75" customHeight="1">
      <c r="B22" s="350" t="s">
        <v>23</v>
      </c>
      <c r="C22" s="338"/>
      <c r="D22" s="338"/>
      <c r="E22" s="376"/>
      <c r="I22" s="97"/>
    </row>
    <row r="23" spans="2:15">
      <c r="B23" s="135" t="s">
        <v>24</v>
      </c>
      <c r="C23" s="1"/>
      <c r="D23" s="1"/>
      <c r="E23" s="89"/>
      <c r="I23" s="97"/>
    </row>
    <row r="24" spans="2:15" ht="14.5" customHeight="1">
      <c r="B24" s="135" t="s">
        <v>24</v>
      </c>
      <c r="C24" s="1"/>
      <c r="D24" s="1"/>
      <c r="E24" s="377"/>
      <c r="I24" s="97"/>
    </row>
    <row r="25" spans="2:15">
      <c r="B25" s="106" t="s">
        <v>25</v>
      </c>
      <c r="C25" s="1"/>
      <c r="D25" s="1"/>
      <c r="E25" s="378">
        <f>SUM(E17:E24)</f>
        <v>0</v>
      </c>
      <c r="I25" s="97"/>
    </row>
    <row r="26" spans="2:15">
      <c r="B26" s="106"/>
      <c r="C26" s="1"/>
      <c r="D26" s="1"/>
      <c r="I26" s="97"/>
    </row>
    <row r="27" spans="2:15">
      <c r="B27" s="107" t="s">
        <v>26</v>
      </c>
      <c r="C27" s="2"/>
      <c r="D27" s="2"/>
      <c r="H27" s="168"/>
      <c r="I27" s="97"/>
    </row>
    <row r="28" spans="2:15" ht="46.5" customHeight="1">
      <c r="B28" s="198" t="s">
        <v>27</v>
      </c>
      <c r="C28" s="1"/>
      <c r="D28" s="1"/>
      <c r="E28" s="379">
        <f>'Residential New'!I127+'Non-Residential'!H92</f>
        <v>0</v>
      </c>
      <c r="H28" s="170"/>
      <c r="I28" s="97"/>
    </row>
    <row r="29" spans="2:15" ht="46.5" customHeight="1">
      <c r="B29" s="173" t="s">
        <v>28</v>
      </c>
      <c r="C29" s="1"/>
      <c r="D29" s="1"/>
      <c r="E29" s="376"/>
      <c r="F29" s="404"/>
      <c r="G29" s="404"/>
      <c r="H29" s="255"/>
      <c r="I29" s="97"/>
      <c r="O29" s="354"/>
    </row>
    <row r="30" spans="2:15">
      <c r="B30" s="172" t="s">
        <v>29</v>
      </c>
      <c r="C30" s="1"/>
      <c r="D30" s="1"/>
      <c r="E30" s="89"/>
      <c r="G30" s="106"/>
      <c r="H30" s="170"/>
      <c r="I30" s="97"/>
    </row>
    <row r="31" spans="2:15" ht="17.149999999999999">
      <c r="B31" s="172" t="s">
        <v>30</v>
      </c>
      <c r="C31" s="1"/>
      <c r="D31" s="1"/>
      <c r="E31" s="91"/>
      <c r="G31" s="170"/>
      <c r="H31" s="170"/>
      <c r="I31" s="97"/>
    </row>
    <row r="32" spans="2:15">
      <c r="B32" s="106" t="s">
        <v>31</v>
      </c>
      <c r="C32" s="1"/>
      <c r="D32" s="1"/>
      <c r="E32" s="380">
        <f>SUM(E28:E31)</f>
        <v>0</v>
      </c>
      <c r="I32" s="97"/>
    </row>
    <row r="33" spans="1:9">
      <c r="B33" s="108"/>
      <c r="I33" s="97"/>
    </row>
    <row r="34" spans="1:9">
      <c r="B34" s="109" t="s">
        <v>32</v>
      </c>
      <c r="C34" s="38"/>
      <c r="D34" s="38"/>
      <c r="E34" s="62">
        <f>E25-E32</f>
        <v>0</v>
      </c>
      <c r="I34" s="97"/>
    </row>
    <row r="35" spans="1:9">
      <c r="B35" s="109"/>
      <c r="C35" s="38"/>
      <c r="D35" s="38"/>
      <c r="E35" s="81"/>
      <c r="I35" s="97"/>
    </row>
    <row r="36" spans="1:9">
      <c r="B36" s="109" t="s">
        <v>33</v>
      </c>
      <c r="E36" s="116">
        <f>E32+E34</f>
        <v>0</v>
      </c>
      <c r="I36" s="97"/>
    </row>
    <row r="37" spans="1:9" ht="3" customHeight="1">
      <c r="A37" s="100"/>
      <c r="B37" s="65"/>
      <c r="C37" s="65"/>
      <c r="D37" s="65"/>
      <c r="E37" s="65"/>
      <c r="F37" s="65"/>
      <c r="G37" s="65"/>
      <c r="H37" s="65"/>
      <c r="I37" s="97"/>
    </row>
  </sheetData>
  <sheetProtection algorithmName="SHA-512" hashValue="uXE3KyFlXLBAhQjF97awZ7Lc8eS6JKKV4ME/lQBmDuL8/jd/qDrN5+489rS0K5HYPG0iLdpi23X0sOYmuljY/A==" saltValue="mtdw4ye5XJr3a6Gji8Wznw==" spinCount="100000" sheet="1" selectLockedCells="1"/>
  <mergeCells count="2">
    <mergeCell ref="F29:G29"/>
    <mergeCell ref="E9:G9"/>
  </mergeCells>
  <pageMargins left="0.70866141732283472" right="0.70866141732283472" top="0.74803149606299213" bottom="0.74803149606299213" header="0.31496062992125984" footer="0.31496062992125984"/>
  <pageSetup orientation="portrait" r:id="rId1"/>
  <headerFooter>
    <oddHeader>&amp;C&amp;"Calibri"&amp;10&amp;K000000 Unclassified-Non classifié&amp;1#_x000D_</oddHeader>
    <oddFooter>&amp;C_x000D_&amp;1#&amp;"Calibri"&amp;10&amp;K000000 Unclassified-Non classifié</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V152"/>
  <sheetViews>
    <sheetView showGridLines="0" zoomScale="90" zoomScaleNormal="90" workbookViewId="0">
      <pane ySplit="12" topLeftCell="A13" activePane="bottomLeft" state="frozen"/>
      <selection activeCell="B39" sqref="B39"/>
      <selection pane="bottomLeft" activeCell="L28" sqref="L28"/>
    </sheetView>
  </sheetViews>
  <sheetFormatPr defaultColWidth="8.84375" defaultRowHeight="14.6"/>
  <cols>
    <col min="1" max="1" width="2.69140625" style="1" customWidth="1"/>
    <col min="2" max="2" width="36.23046875" style="1" customWidth="1"/>
    <col min="3" max="3" width="15.4609375" style="1" customWidth="1"/>
    <col min="4" max="4" width="12" style="1" customWidth="1"/>
    <col min="5" max="5" width="13.53515625" style="1" customWidth="1"/>
    <col min="6" max="6" width="17.23046875" style="1" customWidth="1"/>
    <col min="7" max="8" width="13.4609375" style="1" customWidth="1"/>
    <col min="9" max="9" width="15.69140625" customWidth="1"/>
    <col min="10" max="10" width="1.69140625" customWidth="1"/>
    <col min="11" max="11" width="17.4609375" style="1" customWidth="1"/>
    <col min="12" max="12" width="12.84375" customWidth="1"/>
    <col min="13" max="15" width="12.84375" style="1" customWidth="1"/>
    <col min="16" max="16" width="2.4609375" style="1" customWidth="1"/>
    <col min="17" max="17" width="2.69140625" style="1" customWidth="1"/>
    <col min="18" max="18" width="2.69140625" style="41" customWidth="1"/>
    <col min="19" max="19" width="8.84375" style="1" customWidth="1"/>
    <col min="20" max="20" width="12.4609375" style="1" customWidth="1"/>
    <col min="21" max="21" width="10.15234375" style="1" customWidth="1"/>
    <col min="22" max="22" width="10.4609375" style="1" customWidth="1"/>
    <col min="23" max="16384" width="8.84375" style="1"/>
  </cols>
  <sheetData>
    <row r="1" spans="1:18" customFormat="1">
      <c r="A1" s="111"/>
      <c r="B1" s="65" t="s">
        <v>3</v>
      </c>
      <c r="C1" s="65"/>
      <c r="D1" s="65"/>
      <c r="E1" s="66"/>
      <c r="F1" s="65"/>
      <c r="G1" s="65"/>
      <c r="H1" s="65"/>
      <c r="I1" s="65"/>
      <c r="J1" s="65"/>
      <c r="K1" s="65"/>
      <c r="L1" s="65"/>
      <c r="M1" s="65"/>
      <c r="N1" s="65"/>
      <c r="O1" s="65"/>
      <c r="P1" s="65"/>
      <c r="Q1" s="112"/>
    </row>
    <row r="2" spans="1:18" customFormat="1" ht="6" customHeight="1">
      <c r="A2" s="110"/>
      <c r="B2" s="110"/>
      <c r="C2" s="110"/>
      <c r="D2" s="110"/>
      <c r="E2" s="110"/>
      <c r="F2" s="110"/>
      <c r="G2" s="110"/>
      <c r="H2" s="113"/>
      <c r="I2" s="110"/>
      <c r="J2" s="110"/>
      <c r="K2" s="110"/>
      <c r="L2" s="110"/>
      <c r="M2" s="110"/>
      <c r="N2" s="110"/>
      <c r="O2" s="110"/>
      <c r="P2" s="110"/>
      <c r="Q2" s="112"/>
    </row>
    <row r="3" spans="1:18" customFormat="1">
      <c r="B3" t="s">
        <v>4</v>
      </c>
      <c r="C3" s="259">
        <f>IF(OR(('Residential New'!I113+'Non-Residential'!H79)=0, ISERR(('Residential New'!I113+'Non-Residential'!H79))), 0, ('Residential New'!I104+'Non-Residential'!H71)/('Residential New'!I113+'Non-Residential'!H79))</f>
        <v>0</v>
      </c>
      <c r="E3" t="s">
        <v>5</v>
      </c>
      <c r="G3" s="265">
        <f>IF('Project Budget'!E25=0, 0, ('Residential New'!I109+'Non-Residential'!H75)/'Project Budget'!E25)</f>
        <v>0</v>
      </c>
      <c r="H3" s="41"/>
      <c r="Q3" s="112"/>
    </row>
    <row r="4" spans="1:18" customFormat="1">
      <c r="B4" s="72" t="s">
        <v>6</v>
      </c>
      <c r="C4" s="261">
        <f>'Residential New'!I114</f>
        <v>0</v>
      </c>
      <c r="E4" t="s">
        <v>7</v>
      </c>
      <c r="G4" s="266">
        <f>'Residential New'!I119</f>
        <v>0</v>
      </c>
      <c r="H4" s="41"/>
      <c r="Q4" s="112"/>
    </row>
    <row r="5" spans="1:18" customFormat="1">
      <c r="B5" t="s">
        <v>8</v>
      </c>
      <c r="C5" s="259">
        <f>'Non-Residential'!H80</f>
        <v>0</v>
      </c>
      <c r="E5" t="s">
        <v>9</v>
      </c>
      <c r="G5" s="266">
        <f>'Non-Residential'!H85</f>
        <v>0</v>
      </c>
      <c r="H5" s="41"/>
      <c r="Q5" s="112"/>
    </row>
    <row r="6" spans="1:18" customFormat="1">
      <c r="B6" s="257" t="s">
        <v>10</v>
      </c>
      <c r="C6" s="51" t="str">
        <f>'Residential New'!L37</f>
        <v>No</v>
      </c>
      <c r="E6" t="s">
        <v>34</v>
      </c>
      <c r="F6" s="72"/>
      <c r="G6" s="264">
        <f>'Residential New'!I109+'Non-Residential'!H75</f>
        <v>0</v>
      </c>
      <c r="H6" s="41"/>
      <c r="Q6" s="112"/>
    </row>
    <row r="7" spans="1:18" customFormat="1">
      <c r="B7" t="s">
        <v>12</v>
      </c>
      <c r="C7" s="321">
        <f>Scoring!H92</f>
        <v>0</v>
      </c>
      <c r="E7" t="s">
        <v>13</v>
      </c>
      <c r="F7" s="72"/>
      <c r="G7" s="260">
        <f>'Residential New'!I126+'Non-Residential'!H91</f>
        <v>0</v>
      </c>
      <c r="H7" s="41"/>
      <c r="Q7" s="112"/>
    </row>
    <row r="8" spans="1:18" customFormat="1" ht="3" customHeight="1">
      <c r="B8" s="110"/>
      <c r="C8" s="110"/>
      <c r="D8" s="322"/>
      <c r="E8" s="323"/>
      <c r="F8" s="323"/>
      <c r="G8" s="323"/>
      <c r="H8" s="41"/>
      <c r="Q8" s="112"/>
    </row>
    <row r="9" spans="1:18" customFormat="1" ht="15" customHeight="1">
      <c r="B9" s="262" t="s">
        <v>14</v>
      </c>
      <c r="C9" s="314">
        <f>Scoring!H130</f>
        <v>0</v>
      </c>
      <c r="D9" s="323"/>
      <c r="E9" s="421" t="str">
        <f>Scoring!C155</f>
        <v>Tier 3 - Up to 90% LTC, 45 yrs Am, 10 yr term</v>
      </c>
      <c r="F9" s="422"/>
      <c r="G9" s="422"/>
      <c r="H9" s="422"/>
      <c r="I9" s="422"/>
      <c r="J9" s="374"/>
      <c r="Q9" s="112"/>
    </row>
    <row r="10" spans="1:18" customFormat="1" ht="3" customHeight="1">
      <c r="A10" s="110"/>
      <c r="B10" s="110"/>
      <c r="C10" s="110"/>
      <c r="D10" s="110"/>
      <c r="E10" s="110"/>
      <c r="F10" s="110"/>
      <c r="G10" s="110"/>
      <c r="H10" s="113"/>
      <c r="I10" s="110"/>
      <c r="J10" s="110"/>
      <c r="K10" s="110"/>
      <c r="L10" s="110"/>
      <c r="M10" s="110"/>
      <c r="N10" s="110"/>
      <c r="O10" s="110"/>
      <c r="P10" s="110"/>
      <c r="Q10" s="112"/>
    </row>
    <row r="11" spans="1:18" customFormat="1" ht="3" customHeight="1">
      <c r="A11" s="112"/>
      <c r="B11" s="65"/>
      <c r="C11" s="65"/>
      <c r="D11" s="65"/>
      <c r="E11" s="65"/>
      <c r="F11" s="65"/>
      <c r="G11" s="65"/>
      <c r="H11" s="65"/>
      <c r="I11" s="65"/>
      <c r="J11" s="65"/>
      <c r="K11" s="65"/>
      <c r="L11" s="65"/>
      <c r="M11" s="65"/>
      <c r="N11" s="65"/>
      <c r="O11" s="65"/>
      <c r="P11" s="65"/>
      <c r="Q11" s="112"/>
    </row>
    <row r="12" spans="1:18" customFormat="1" ht="15" customHeight="1"/>
    <row r="13" spans="1:18" ht="15.9">
      <c r="A13" s="101"/>
      <c r="B13" s="166" t="s">
        <v>35</v>
      </c>
      <c r="C13" s="65"/>
      <c r="D13" s="65"/>
      <c r="E13" s="65"/>
      <c r="F13" s="65"/>
      <c r="G13" s="65"/>
      <c r="H13" s="65"/>
      <c r="I13" s="65"/>
      <c r="J13" s="65"/>
      <c r="K13" s="65"/>
      <c r="L13" s="65"/>
      <c r="M13" s="65"/>
      <c r="N13" s="65"/>
      <c r="O13" s="65"/>
      <c r="P13" s="65"/>
      <c r="Q13" s="97"/>
      <c r="R13" s="77"/>
    </row>
    <row r="14" spans="1:18" ht="6" customHeight="1">
      <c r="B14" s="34"/>
      <c r="C14" s="78"/>
      <c r="D14" s="34"/>
      <c r="E14" s="34"/>
      <c r="F14" s="34"/>
      <c r="G14" s="34"/>
      <c r="H14" s="34"/>
      <c r="I14" s="34"/>
      <c r="J14" s="34"/>
      <c r="K14" s="34"/>
      <c r="M14" s="34"/>
      <c r="N14" s="34"/>
      <c r="O14" s="34"/>
      <c r="P14" s="34"/>
      <c r="Q14" s="97"/>
      <c r="R14" s="77"/>
    </row>
    <row r="15" spans="1:18" s="30" customFormat="1">
      <c r="B15" s="79" t="s">
        <v>36</v>
      </c>
      <c r="C15" s="79"/>
      <c r="D15" s="158">
        <v>1</v>
      </c>
      <c r="E15" s="79"/>
      <c r="F15" s="79"/>
      <c r="G15" s="79"/>
      <c r="H15" s="79"/>
      <c r="I15" s="79"/>
      <c r="J15" s="79"/>
      <c r="K15" s="79"/>
      <c r="L15" s="79"/>
      <c r="M15" s="79"/>
      <c r="N15" s="79"/>
      <c r="O15" s="79"/>
      <c r="P15" s="79"/>
      <c r="Q15" s="97"/>
      <c r="R15" s="77"/>
    </row>
    <row r="16" spans="1:18" s="30" customFormat="1">
      <c r="B16" s="79"/>
      <c r="C16" s="79"/>
      <c r="D16"/>
      <c r="E16" s="79"/>
      <c r="F16" s="79"/>
      <c r="G16" s="79"/>
      <c r="H16" s="79"/>
      <c r="I16" s="79"/>
      <c r="J16" s="79"/>
      <c r="K16" s="79"/>
      <c r="L16" s="79"/>
      <c r="M16" s="79"/>
      <c r="N16" s="79"/>
      <c r="O16" s="79"/>
      <c r="P16" s="79"/>
      <c r="Q16" s="97"/>
      <c r="R16" s="77"/>
    </row>
    <row r="17" spans="2:18" s="30" customFormat="1">
      <c r="B17" s="79" t="s">
        <v>37</v>
      </c>
      <c r="C17" s="79"/>
      <c r="D17" s="347" t="s">
        <v>38</v>
      </c>
      <c r="E17" s="79"/>
      <c r="F17" s="79"/>
      <c r="G17" s="79"/>
      <c r="H17" s="79"/>
      <c r="I17" s="79"/>
      <c r="J17" s="79"/>
      <c r="K17" s="79"/>
      <c r="L17" s="79"/>
      <c r="M17" s="79"/>
      <c r="N17" s="79"/>
      <c r="O17" s="79"/>
      <c r="P17" s="79"/>
      <c r="Q17" s="97"/>
      <c r="R17" s="77"/>
    </row>
    <row r="18" spans="2:18">
      <c r="B18" s="34"/>
      <c r="C18" s="34"/>
      <c r="D18" s="34"/>
      <c r="E18" s="34"/>
      <c r="F18" s="137"/>
      <c r="G18" s="137"/>
      <c r="H18" s="46"/>
      <c r="I18" s="47"/>
      <c r="J18" s="47"/>
      <c r="K18" s="79"/>
      <c r="L18" s="34"/>
      <c r="M18" s="34"/>
      <c r="N18" s="34"/>
      <c r="O18" s="34"/>
      <c r="P18" s="34"/>
      <c r="Q18" s="97"/>
      <c r="R18" s="77"/>
    </row>
    <row r="19" spans="2:18" ht="17.149999999999999">
      <c r="B19" s="98" t="s">
        <v>16</v>
      </c>
      <c r="C19" s="34"/>
      <c r="D19" s="34"/>
      <c r="E19" s="34"/>
      <c r="F19" s="138" t="s">
        <v>39</v>
      </c>
      <c r="G19" s="139" t="s">
        <v>40</v>
      </c>
      <c r="H19" s="46"/>
      <c r="I19" s="45"/>
      <c r="J19" s="45"/>
      <c r="K19" s="79"/>
      <c r="L19" s="80"/>
      <c r="M19" s="34"/>
      <c r="N19" s="34"/>
      <c r="O19" s="34"/>
      <c r="P19" s="34"/>
      <c r="Q19" s="97"/>
      <c r="R19" s="77"/>
    </row>
    <row r="20" spans="2:18">
      <c r="B20" s="174" t="s">
        <v>41</v>
      </c>
      <c r="C20" s="34"/>
      <c r="D20" s="34"/>
      <c r="E20" s="34"/>
      <c r="F20" s="140" t="str">
        <f>IF($D$60=0, "", G20/$D$60)</f>
        <v/>
      </c>
      <c r="G20" s="140">
        <f>D$15*'Project Budget'!E17</f>
        <v>0</v>
      </c>
      <c r="H20" s="38"/>
      <c r="I20" s="38"/>
      <c r="J20" s="38"/>
      <c r="K20" s="79"/>
      <c r="M20" s="34"/>
      <c r="N20" s="34"/>
      <c r="O20" s="34"/>
      <c r="P20" s="34"/>
      <c r="Q20" s="97"/>
      <c r="R20" s="77"/>
    </row>
    <row r="21" spans="2:18">
      <c r="B21" s="34" t="s">
        <v>19</v>
      </c>
      <c r="C21" s="34"/>
      <c r="D21" s="34"/>
      <c r="E21" s="34"/>
      <c r="F21" s="140" t="str">
        <f t="shared" ref="F21:F28" si="0">IF($D$60=0, "", G21/$D$60)</f>
        <v/>
      </c>
      <c r="G21" s="140">
        <f>D$15*'Project Budget'!E18</f>
        <v>0</v>
      </c>
      <c r="H21" s="38"/>
      <c r="I21" s="38"/>
      <c r="J21" s="38"/>
      <c r="K21" s="34"/>
      <c r="M21" s="34"/>
      <c r="N21" s="34"/>
      <c r="O21" s="34"/>
      <c r="P21" s="34"/>
      <c r="Q21" s="97"/>
      <c r="R21" s="77"/>
    </row>
    <row r="22" spans="2:18">
      <c r="B22" s="34" t="s">
        <v>20</v>
      </c>
      <c r="C22" s="34"/>
      <c r="D22" s="34"/>
      <c r="E22" s="34"/>
      <c r="F22" s="140" t="str">
        <f t="shared" si="0"/>
        <v/>
      </c>
      <c r="G22" s="140">
        <f>D$15*'Project Budget'!E19</f>
        <v>0</v>
      </c>
      <c r="H22" s="38"/>
      <c r="I22" s="38"/>
      <c r="J22" s="38"/>
      <c r="K22" s="34"/>
      <c r="M22" s="34"/>
      <c r="N22" s="34"/>
      <c r="O22" s="34"/>
      <c r="P22" s="34"/>
      <c r="Q22" s="97"/>
      <c r="R22" s="77"/>
    </row>
    <row r="23" spans="2:18">
      <c r="B23" s="34" t="s">
        <v>21</v>
      </c>
      <c r="C23" s="34"/>
      <c r="D23" s="34"/>
      <c r="E23" s="34"/>
      <c r="F23" s="140" t="str">
        <f t="shared" si="0"/>
        <v/>
      </c>
      <c r="G23" s="140">
        <f>D$15*'Project Budget'!E20</f>
        <v>0</v>
      </c>
      <c r="H23" s="38"/>
      <c r="I23" s="38"/>
      <c r="J23" s="38"/>
      <c r="K23" s="34"/>
      <c r="P23" s="34"/>
      <c r="Q23" s="97"/>
      <c r="R23" s="77"/>
    </row>
    <row r="24" spans="2:18">
      <c r="B24" s="34" t="s">
        <v>22</v>
      </c>
      <c r="C24" s="34"/>
      <c r="D24" s="34"/>
      <c r="E24" s="34"/>
      <c r="F24" s="140" t="str">
        <f t="shared" si="0"/>
        <v/>
      </c>
      <c r="G24" s="140">
        <f>D$15*'Project Budget'!E21</f>
        <v>0</v>
      </c>
      <c r="H24" s="38"/>
      <c r="I24" s="38"/>
      <c r="J24" s="38"/>
      <c r="K24" s="34"/>
      <c r="P24" s="34"/>
      <c r="Q24" s="97"/>
      <c r="R24" s="77"/>
    </row>
    <row r="25" spans="2:18">
      <c r="B25" s="167" t="str">
        <f>'Project Budget'!B22</f>
        <v>Misc and Buffer</v>
      </c>
      <c r="C25" s="34"/>
      <c r="D25" s="34"/>
      <c r="E25" s="34"/>
      <c r="F25" s="140" t="str">
        <f t="shared" si="0"/>
        <v/>
      </c>
      <c r="G25" s="140">
        <f>D$15*'Project Budget'!E22</f>
        <v>0</v>
      </c>
      <c r="H25" s="38"/>
      <c r="I25" s="38"/>
      <c r="J25" s="38"/>
      <c r="K25" s="34"/>
      <c r="P25" s="34"/>
      <c r="Q25" s="97"/>
      <c r="R25" s="77"/>
    </row>
    <row r="26" spans="2:18">
      <c r="B26" s="167" t="str">
        <f>'Project Budget'!B23</f>
        <v>Other (describe)</v>
      </c>
      <c r="C26" s="34"/>
      <c r="D26" s="34"/>
      <c r="E26" s="34"/>
      <c r="F26" s="140" t="str">
        <f t="shared" si="0"/>
        <v/>
      </c>
      <c r="G26" s="140">
        <f>D$15*'Project Budget'!E23</f>
        <v>0</v>
      </c>
      <c r="H26" s="38"/>
      <c r="I26" s="38"/>
      <c r="J26" s="38"/>
      <c r="K26" s="34"/>
      <c r="L26" s="267" t="s">
        <v>42</v>
      </c>
      <c r="M26" s="268"/>
      <c r="N26" s="268"/>
      <c r="O26" s="128"/>
      <c r="P26" s="34"/>
      <c r="Q26" s="97"/>
      <c r="R26" s="77"/>
    </row>
    <row r="27" spans="2:18" ht="17.149999999999999">
      <c r="B27" s="167" t="str">
        <f>'Project Budget'!B24</f>
        <v>Other (describe)</v>
      </c>
      <c r="C27" s="34"/>
      <c r="D27" s="34"/>
      <c r="E27" s="34"/>
      <c r="F27" s="140" t="str">
        <f t="shared" si="0"/>
        <v/>
      </c>
      <c r="G27" s="140">
        <f>D$15*'Project Budget'!E24</f>
        <v>0</v>
      </c>
      <c r="H27" s="47"/>
      <c r="I27" s="47"/>
      <c r="J27" s="47"/>
      <c r="K27" s="80"/>
      <c r="L27" s="269" t="s">
        <v>43</v>
      </c>
      <c r="M27" s="244"/>
      <c r="N27" s="244"/>
      <c r="O27" s="270"/>
      <c r="P27" s="34"/>
      <c r="Q27" s="97"/>
      <c r="R27" s="77"/>
    </row>
    <row r="28" spans="2:18">
      <c r="B28" s="34" t="s">
        <v>25</v>
      </c>
      <c r="C28" s="34"/>
      <c r="D28" s="34"/>
      <c r="E28" s="34"/>
      <c r="F28" s="381" t="str">
        <f t="shared" si="0"/>
        <v/>
      </c>
      <c r="G28" s="381">
        <f>SUM(G20:G27)</f>
        <v>0</v>
      </c>
      <c r="H28" s="45"/>
      <c r="I28" s="38"/>
      <c r="J28" s="38"/>
      <c r="K28" s="34"/>
      <c r="L28" s="271"/>
      <c r="M28" s="411" t="s">
        <v>44</v>
      </c>
      <c r="N28" s="411"/>
      <c r="O28" s="412"/>
      <c r="P28" s="34"/>
      <c r="Q28" s="97"/>
      <c r="R28" s="77"/>
    </row>
    <row r="29" spans="2:18">
      <c r="B29" s="34"/>
      <c r="C29" s="34"/>
      <c r="D29" s="34"/>
      <c r="E29" s="34"/>
      <c r="F29" s="34"/>
      <c r="G29" s="34"/>
      <c r="H29" s="34"/>
      <c r="I29" s="34"/>
      <c r="J29" s="34"/>
      <c r="K29" s="34"/>
      <c r="L29" s="272">
        <f>L28*0.3</f>
        <v>0</v>
      </c>
      <c r="M29" s="411" t="s">
        <v>45</v>
      </c>
      <c r="N29" s="411"/>
      <c r="O29" s="412"/>
      <c r="P29" s="34"/>
      <c r="Q29" s="97"/>
      <c r="R29" s="77"/>
    </row>
    <row r="30" spans="2:18" ht="14.5" customHeight="1">
      <c r="B30" s="99" t="s">
        <v>46</v>
      </c>
      <c r="C30" s="34"/>
      <c r="D30" s="34"/>
      <c r="E30" s="34"/>
      <c r="F30" s="34"/>
      <c r="G30" s="34"/>
      <c r="H30" s="34"/>
      <c r="I30" s="34"/>
      <c r="J30" s="34"/>
      <c r="K30" s="34"/>
      <c r="L30" s="408" t="s">
        <v>47</v>
      </c>
      <c r="M30" s="409"/>
      <c r="N30" s="409"/>
      <c r="O30" s="410"/>
      <c r="P30" s="34"/>
      <c r="Q30" s="97"/>
      <c r="R30" s="77"/>
    </row>
    <row r="31" spans="2:18">
      <c r="B31" s="174" t="s">
        <v>48</v>
      </c>
      <c r="C31" s="168"/>
      <c r="D31" s="34"/>
      <c r="E31" s="34"/>
      <c r="F31" s="140" t="str">
        <f>IF($D$60=0, "", G31/$D$60)</f>
        <v/>
      </c>
      <c r="G31" s="176">
        <f>I127</f>
        <v>0</v>
      </c>
      <c r="H31" s="169"/>
      <c r="I31" s="34"/>
      <c r="J31" s="34"/>
      <c r="K31" s="34"/>
      <c r="L31" s="413" t="s">
        <v>49</v>
      </c>
      <c r="M31" s="414"/>
      <c r="N31" s="414"/>
      <c r="O31" s="415"/>
      <c r="P31" s="34"/>
      <c r="Q31" s="97"/>
      <c r="R31" s="77"/>
    </row>
    <row r="32" spans="2:18">
      <c r="B32" s="174" t="s">
        <v>50</v>
      </c>
      <c r="C32" s="165"/>
      <c r="D32" s="34"/>
      <c r="E32" s="34"/>
      <c r="F32" s="140"/>
      <c r="G32" s="140">
        <f>D$15*'Project Budget'!E29</f>
        <v>0</v>
      </c>
      <c r="H32" s="38"/>
      <c r="I32" s="34"/>
      <c r="J32" s="34"/>
      <c r="K32" s="34"/>
      <c r="L32" s="273">
        <f>ROUND(D60*0.2,0)</f>
        <v>0</v>
      </c>
      <c r="M32" s="245" t="s">
        <v>51</v>
      </c>
      <c r="N32" s="245"/>
      <c r="O32" s="274"/>
      <c r="P32" s="34"/>
      <c r="Q32" s="97"/>
      <c r="R32" s="77"/>
    </row>
    <row r="33" spans="2:18">
      <c r="B33" s="175" t="str">
        <f>'Project Budget'!B30</f>
        <v>Other Financing (describe )</v>
      </c>
      <c r="C33" s="169"/>
      <c r="D33" s="38"/>
      <c r="E33" s="34"/>
      <c r="F33" s="140" t="str">
        <f>IF($D$60=0, "", G33/$D$60)</f>
        <v/>
      </c>
      <c r="G33" s="140">
        <f>D$15*'Project Budget'!E30</f>
        <v>0</v>
      </c>
      <c r="H33" s="38"/>
      <c r="I33" s="34"/>
      <c r="J33" s="34"/>
      <c r="K33" s="34"/>
      <c r="L33" s="273">
        <f>ROUND(L29/12,0)</f>
        <v>0</v>
      </c>
      <c r="M33" s="245" t="s">
        <v>52</v>
      </c>
      <c r="N33" s="245"/>
      <c r="O33" s="274"/>
      <c r="P33" s="34"/>
      <c r="Q33" s="97"/>
      <c r="R33" s="77"/>
    </row>
    <row r="34" spans="2:18" ht="17.149999999999999">
      <c r="B34" s="175" t="str">
        <f>'Project Budget'!B31</f>
        <v>Other Financing(describe )</v>
      </c>
      <c r="C34" s="169"/>
      <c r="D34" s="38"/>
      <c r="E34" s="34"/>
      <c r="F34" s="141" t="str">
        <f>IF($D$60=0, "", G34/$D$60)</f>
        <v/>
      </c>
      <c r="G34" s="142">
        <f>D$15*'Project Budget'!E31</f>
        <v>0</v>
      </c>
      <c r="H34" s="83"/>
      <c r="I34" s="34"/>
      <c r="J34" s="34"/>
      <c r="K34" s="80"/>
      <c r="L34" s="275"/>
      <c r="M34" s="34"/>
      <c r="N34" s="34"/>
      <c r="O34" s="274"/>
      <c r="P34" s="34"/>
      <c r="Q34" s="97"/>
      <c r="R34" s="77"/>
    </row>
    <row r="35" spans="2:18">
      <c r="B35" s="34" t="s">
        <v>31</v>
      </c>
      <c r="C35" s="84"/>
      <c r="D35" s="84"/>
      <c r="E35" s="34"/>
      <c r="F35" s="381" t="str">
        <f>IF($D$60=0, "", I35/$D$60)</f>
        <v/>
      </c>
      <c r="G35" s="140">
        <f>SUM(G31:G34)</f>
        <v>0</v>
      </c>
      <c r="H35" s="34"/>
      <c r="I35" s="34"/>
      <c r="J35" s="34"/>
      <c r="K35" s="34"/>
      <c r="L35" s="273">
        <f>L60</f>
        <v>0</v>
      </c>
      <c r="M35" s="245" t="s">
        <v>53</v>
      </c>
      <c r="N35" s="245"/>
      <c r="O35" s="274"/>
      <c r="P35" s="34"/>
      <c r="Q35" s="97"/>
      <c r="R35" s="77"/>
    </row>
    <row r="36" spans="2:18">
      <c r="B36" s="34"/>
      <c r="C36" s="84"/>
      <c r="D36" s="84"/>
      <c r="E36" s="34"/>
      <c r="F36" s="167"/>
      <c r="G36" s="167"/>
      <c r="H36" s="34"/>
      <c r="I36" s="34"/>
      <c r="J36" s="34"/>
      <c r="K36" s="34"/>
      <c r="L36" s="276">
        <f>L61</f>
        <v>0</v>
      </c>
      <c r="M36" s="245" t="s">
        <v>54</v>
      </c>
      <c r="N36" s="245"/>
      <c r="O36" s="274"/>
      <c r="P36" s="34"/>
      <c r="Q36" s="97"/>
      <c r="R36" s="77"/>
    </row>
    <row r="37" spans="2:18" s="32" customFormat="1">
      <c r="B37" s="34"/>
      <c r="C37" s="84"/>
      <c r="D37" s="84"/>
      <c r="E37" s="84"/>
      <c r="F37" s="143"/>
      <c r="G37" s="187"/>
      <c r="H37" s="86"/>
      <c r="I37" s="86"/>
      <c r="J37" s="86"/>
      <c r="K37" s="84"/>
      <c r="L37" s="277" t="str">
        <f>IF(L35=0,"No",IF(L35&gt;=L32, "Yes", "No"))</f>
        <v>No</v>
      </c>
      <c r="M37" s="278" t="s">
        <v>55</v>
      </c>
      <c r="N37" s="278"/>
      <c r="O37" s="279"/>
      <c r="P37" s="84"/>
      <c r="Q37" s="97"/>
      <c r="R37" s="77"/>
    </row>
    <row r="38" spans="2:18" s="32" customFormat="1">
      <c r="B38" s="34"/>
      <c r="C38" s="84"/>
      <c r="D38" s="84"/>
      <c r="E38" s="84"/>
      <c r="F38" s="84"/>
      <c r="G38" s="84"/>
      <c r="H38" s="84"/>
      <c r="I38" s="84"/>
      <c r="J38" s="84"/>
      <c r="K38" s="84"/>
      <c r="O38" s="84"/>
      <c r="P38" s="84"/>
      <c r="Q38" s="97"/>
      <c r="R38" s="77"/>
    </row>
    <row r="39" spans="2:18" s="32" customFormat="1">
      <c r="B39" s="34"/>
      <c r="C39" s="84"/>
      <c r="D39" s="84"/>
      <c r="E39" s="84"/>
      <c r="F39" s="84"/>
      <c r="G39" s="84"/>
      <c r="H39" s="84"/>
      <c r="I39" s="84"/>
      <c r="J39" s="84"/>
      <c r="K39" s="84"/>
      <c r="L39"/>
      <c r="M39" s="38"/>
      <c r="N39" s="38"/>
      <c r="O39" s="84"/>
      <c r="P39" s="84"/>
      <c r="Q39" s="97"/>
      <c r="R39" s="77"/>
    </row>
    <row r="40" spans="2:18">
      <c r="B40" s="34"/>
      <c r="C40" s="34"/>
      <c r="D40" s="34"/>
      <c r="E40" s="145" t="s">
        <v>56</v>
      </c>
      <c r="F40" s="34"/>
      <c r="G40" s="424" t="s">
        <v>57</v>
      </c>
      <c r="H40" s="424" t="s">
        <v>58</v>
      </c>
      <c r="I40" s="424" t="s">
        <v>59</v>
      </c>
      <c r="K40" s="34"/>
      <c r="L40" s="235" t="s">
        <v>60</v>
      </c>
      <c r="M40" s="234"/>
      <c r="N40" s="234"/>
      <c r="O40" s="234"/>
      <c r="P40" s="34"/>
      <c r="Q40" s="97"/>
      <c r="R40" s="77"/>
    </row>
    <row r="41" spans="2:18">
      <c r="B41" s="98" t="s">
        <v>61</v>
      </c>
      <c r="C41" s="87"/>
      <c r="D41" s="87" t="s">
        <v>62</v>
      </c>
      <c r="E41" s="156" t="s">
        <v>63</v>
      </c>
      <c r="F41" s="34" t="s">
        <v>64</v>
      </c>
      <c r="G41" s="424"/>
      <c r="H41" s="424"/>
      <c r="I41" s="424"/>
      <c r="K41" s="258" t="s">
        <v>65</v>
      </c>
      <c r="L41" s="236">
        <v>0.3</v>
      </c>
      <c r="M41" s="236">
        <v>0.25</v>
      </c>
      <c r="N41" s="237">
        <v>0.2</v>
      </c>
      <c r="O41" s="237">
        <v>0.15</v>
      </c>
      <c r="Q41" s="97"/>
      <c r="R41" s="77"/>
    </row>
    <row r="42" spans="2:18" ht="17.149999999999999">
      <c r="B42" s="80" t="s">
        <v>66</v>
      </c>
      <c r="C42" s="88" t="s">
        <v>67</v>
      </c>
      <c r="D42" s="88" t="s">
        <v>68</v>
      </c>
      <c r="E42" s="157" t="s">
        <v>69</v>
      </c>
      <c r="F42" s="34" t="s">
        <v>70</v>
      </c>
      <c r="G42" s="424"/>
      <c r="H42" s="424"/>
      <c r="I42" s="424"/>
      <c r="K42" s="246" t="s">
        <v>71</v>
      </c>
      <c r="L42" s="233">
        <f>L33</f>
        <v>0</v>
      </c>
      <c r="M42" s="233">
        <f>(($L$28*M41))/12</f>
        <v>0</v>
      </c>
      <c r="N42" s="233">
        <f>(($L$28*N41))/12</f>
        <v>0</v>
      </c>
      <c r="O42" s="233">
        <f>(($L$28*O41))/12</f>
        <v>0</v>
      </c>
      <c r="P42" s="230"/>
      <c r="Q42" s="97"/>
      <c r="R42" s="77"/>
    </row>
    <row r="43" spans="2:18">
      <c r="B43" s="34" t="s">
        <v>72</v>
      </c>
      <c r="C43" s="89"/>
      <c r="D43" s="89"/>
      <c r="E43" s="89"/>
      <c r="F43" s="48"/>
      <c r="G43" s="64">
        <f>E43</f>
        <v>0</v>
      </c>
      <c r="H43" s="64">
        <f>(E43*(D43+D44))*12</f>
        <v>0</v>
      </c>
      <c r="I43" s="64">
        <f t="shared" ref="I43:I59" si="1">G43*D43*12</f>
        <v>0</v>
      </c>
      <c r="K43" s="90"/>
      <c r="L43" s="233">
        <f t="shared" ref="L43:L59" si="2">IF(G43&lt;$L$33,D43,0)</f>
        <v>0</v>
      </c>
      <c r="M43" s="233">
        <f t="shared" ref="M43:O59" si="3">IF($G43&lt;M$42,$D43,0)</f>
        <v>0</v>
      </c>
      <c r="N43" s="233">
        <f t="shared" si="3"/>
        <v>0</v>
      </c>
      <c r="O43" s="233">
        <f t="shared" si="3"/>
        <v>0</v>
      </c>
      <c r="P43" s="231"/>
      <c r="Q43" s="97"/>
      <c r="R43" s="77"/>
    </row>
    <row r="44" spans="2:18" ht="17.149999999999999">
      <c r="B44" s="80" t="s">
        <v>73</v>
      </c>
      <c r="C44" s="89"/>
      <c r="D44" s="89"/>
      <c r="E44" s="136"/>
      <c r="F44" s="144"/>
      <c r="G44" s="64">
        <f>E43*F44</f>
        <v>0</v>
      </c>
      <c r="H44" s="64"/>
      <c r="I44" s="64">
        <f t="shared" si="1"/>
        <v>0</v>
      </c>
      <c r="K44" s="90"/>
      <c r="L44" s="233">
        <f t="shared" si="2"/>
        <v>0</v>
      </c>
      <c r="M44" s="233">
        <f t="shared" si="3"/>
        <v>0</v>
      </c>
      <c r="N44" s="233">
        <f t="shared" si="3"/>
        <v>0</v>
      </c>
      <c r="O44" s="233">
        <f t="shared" si="3"/>
        <v>0</v>
      </c>
      <c r="P44" s="231"/>
      <c r="Q44" s="97"/>
      <c r="R44" s="77"/>
    </row>
    <row r="45" spans="2:18">
      <c r="B45" s="34" t="s">
        <v>74</v>
      </c>
      <c r="C45" s="89"/>
      <c r="D45" s="89"/>
      <c r="E45" s="89"/>
      <c r="F45" s="48"/>
      <c r="G45" s="64">
        <f>E45</f>
        <v>0</v>
      </c>
      <c r="H45" s="64">
        <f>(E45*(D45+D46))*12</f>
        <v>0</v>
      </c>
      <c r="I45" s="64">
        <f t="shared" si="1"/>
        <v>0</v>
      </c>
      <c r="K45" s="90"/>
      <c r="L45" s="233">
        <f t="shared" si="2"/>
        <v>0</v>
      </c>
      <c r="M45" s="233">
        <f t="shared" si="3"/>
        <v>0</v>
      </c>
      <c r="N45" s="233">
        <f t="shared" si="3"/>
        <v>0</v>
      </c>
      <c r="O45" s="233">
        <f t="shared" si="3"/>
        <v>0</v>
      </c>
      <c r="P45" s="231"/>
      <c r="Q45" s="97"/>
      <c r="R45" s="77"/>
    </row>
    <row r="46" spans="2:18" ht="17.149999999999999">
      <c r="B46" s="80" t="s">
        <v>75</v>
      </c>
      <c r="C46" s="89"/>
      <c r="D46" s="89"/>
      <c r="E46" s="136"/>
      <c r="F46" s="144"/>
      <c r="G46" s="64">
        <f>E45*F46</f>
        <v>0</v>
      </c>
      <c r="H46" s="64"/>
      <c r="I46" s="64">
        <f t="shared" si="1"/>
        <v>0</v>
      </c>
      <c r="K46" s="90"/>
      <c r="L46" s="233">
        <f t="shared" si="2"/>
        <v>0</v>
      </c>
      <c r="M46" s="233">
        <f t="shared" si="3"/>
        <v>0</v>
      </c>
      <c r="N46" s="233">
        <f t="shared" si="3"/>
        <v>0</v>
      </c>
      <c r="O46" s="233">
        <f t="shared" si="3"/>
        <v>0</v>
      </c>
      <c r="P46" s="231"/>
      <c r="Q46" s="97"/>
      <c r="R46" s="77"/>
    </row>
    <row r="47" spans="2:18">
      <c r="B47" s="34" t="s">
        <v>76</v>
      </c>
      <c r="C47" s="89"/>
      <c r="D47" s="89"/>
      <c r="E47" s="89"/>
      <c r="F47" s="48"/>
      <c r="G47" s="64">
        <f>E47</f>
        <v>0</v>
      </c>
      <c r="H47" s="64">
        <f>(E47*(D47+D48))*12</f>
        <v>0</v>
      </c>
      <c r="I47" s="64">
        <f t="shared" si="1"/>
        <v>0</v>
      </c>
      <c r="K47" s="90"/>
      <c r="L47" s="233">
        <f t="shared" si="2"/>
        <v>0</v>
      </c>
      <c r="M47" s="233">
        <f t="shared" si="3"/>
        <v>0</v>
      </c>
      <c r="N47" s="233">
        <f t="shared" si="3"/>
        <v>0</v>
      </c>
      <c r="O47" s="233">
        <f t="shared" si="3"/>
        <v>0</v>
      </c>
      <c r="P47" s="231"/>
      <c r="Q47" s="97"/>
      <c r="R47" s="77"/>
    </row>
    <row r="48" spans="2:18" ht="17.149999999999999">
      <c r="B48" s="80" t="s">
        <v>77</v>
      </c>
      <c r="C48" s="89"/>
      <c r="D48" s="89"/>
      <c r="E48" s="136"/>
      <c r="F48" s="144"/>
      <c r="G48" s="64">
        <f>E47*F48</f>
        <v>0</v>
      </c>
      <c r="H48" s="64"/>
      <c r="I48" s="64">
        <f t="shared" si="1"/>
        <v>0</v>
      </c>
      <c r="K48" s="90"/>
      <c r="L48" s="233">
        <f t="shared" si="2"/>
        <v>0</v>
      </c>
      <c r="M48" s="233">
        <f t="shared" si="3"/>
        <v>0</v>
      </c>
      <c r="N48" s="233">
        <f t="shared" si="3"/>
        <v>0</v>
      </c>
      <c r="O48" s="233">
        <f t="shared" si="3"/>
        <v>0</v>
      </c>
      <c r="P48" s="231"/>
      <c r="Q48" s="97"/>
      <c r="R48" s="77"/>
    </row>
    <row r="49" spans="2:22">
      <c r="B49" s="34" t="s">
        <v>78</v>
      </c>
      <c r="C49" s="89"/>
      <c r="D49" s="89"/>
      <c r="E49" s="89"/>
      <c r="F49" s="48"/>
      <c r="G49" s="64">
        <f>E49</f>
        <v>0</v>
      </c>
      <c r="H49" s="64">
        <f>(E49*(D49+D50))*12</f>
        <v>0</v>
      </c>
      <c r="I49" s="64">
        <f t="shared" si="1"/>
        <v>0</v>
      </c>
      <c r="K49" s="90"/>
      <c r="L49" s="233">
        <f t="shared" si="2"/>
        <v>0</v>
      </c>
      <c r="M49" s="233">
        <f t="shared" si="3"/>
        <v>0</v>
      </c>
      <c r="N49" s="233">
        <f t="shared" si="3"/>
        <v>0</v>
      </c>
      <c r="O49" s="233">
        <f t="shared" si="3"/>
        <v>0</v>
      </c>
      <c r="P49" s="231"/>
      <c r="Q49" s="97"/>
      <c r="R49" s="77"/>
    </row>
    <row r="50" spans="2:22" ht="17.149999999999999">
      <c r="B50" s="80" t="s">
        <v>79</v>
      </c>
      <c r="C50" s="89"/>
      <c r="D50" s="89"/>
      <c r="E50" s="136"/>
      <c r="F50" s="144"/>
      <c r="G50" s="64">
        <f>E49*F50</f>
        <v>0</v>
      </c>
      <c r="H50" s="64"/>
      <c r="I50" s="64">
        <f t="shared" si="1"/>
        <v>0</v>
      </c>
      <c r="K50" s="90"/>
      <c r="L50" s="233">
        <f t="shared" si="2"/>
        <v>0</v>
      </c>
      <c r="M50" s="233">
        <f t="shared" si="3"/>
        <v>0</v>
      </c>
      <c r="N50" s="233">
        <f t="shared" si="3"/>
        <v>0</v>
      </c>
      <c r="O50" s="233">
        <f t="shared" si="3"/>
        <v>0</v>
      </c>
      <c r="P50" s="231"/>
      <c r="Q50" s="97"/>
      <c r="R50" s="77"/>
    </row>
    <row r="51" spans="2:22">
      <c r="B51" s="34" t="s">
        <v>80</v>
      </c>
      <c r="C51" s="89"/>
      <c r="D51" s="89"/>
      <c r="E51" s="89"/>
      <c r="F51" s="48"/>
      <c r="G51" s="64">
        <f>E51</f>
        <v>0</v>
      </c>
      <c r="H51" s="64">
        <f>(E51*(D51+D52))*12</f>
        <v>0</v>
      </c>
      <c r="I51" s="64">
        <f t="shared" si="1"/>
        <v>0</v>
      </c>
      <c r="K51" s="90"/>
      <c r="L51" s="233">
        <f t="shared" si="2"/>
        <v>0</v>
      </c>
      <c r="M51" s="233">
        <f t="shared" si="3"/>
        <v>0</v>
      </c>
      <c r="N51" s="233">
        <f t="shared" si="3"/>
        <v>0</v>
      </c>
      <c r="O51" s="233">
        <f t="shared" si="3"/>
        <v>0</v>
      </c>
      <c r="P51" s="231"/>
      <c r="Q51" s="97"/>
      <c r="R51" s="77"/>
    </row>
    <row r="52" spans="2:22" ht="17.149999999999999">
      <c r="B52" s="80" t="s">
        <v>81</v>
      </c>
      <c r="C52" s="89"/>
      <c r="D52" s="89"/>
      <c r="E52" s="136"/>
      <c r="F52" s="144"/>
      <c r="G52" s="64">
        <f>E51*F52</f>
        <v>0</v>
      </c>
      <c r="H52" s="64"/>
      <c r="I52" s="64">
        <f t="shared" si="1"/>
        <v>0</v>
      </c>
      <c r="K52" s="90"/>
      <c r="L52" s="233">
        <f t="shared" si="2"/>
        <v>0</v>
      </c>
      <c r="M52" s="233">
        <f t="shared" si="3"/>
        <v>0</v>
      </c>
      <c r="N52" s="233">
        <f t="shared" si="3"/>
        <v>0</v>
      </c>
      <c r="O52" s="233">
        <f t="shared" si="3"/>
        <v>0</v>
      </c>
      <c r="P52" s="231"/>
      <c r="Q52" s="97"/>
      <c r="R52" s="77"/>
    </row>
    <row r="53" spans="2:22">
      <c r="B53" s="34" t="s">
        <v>82</v>
      </c>
      <c r="C53" s="89"/>
      <c r="D53" s="89"/>
      <c r="E53" s="89"/>
      <c r="F53" s="48"/>
      <c r="G53" s="64">
        <f>E53</f>
        <v>0</v>
      </c>
      <c r="H53" s="64">
        <f>(E53*(D53+D54))*12</f>
        <v>0</v>
      </c>
      <c r="I53" s="64">
        <f t="shared" si="1"/>
        <v>0</v>
      </c>
      <c r="K53" s="90"/>
      <c r="L53" s="233">
        <f t="shared" si="2"/>
        <v>0</v>
      </c>
      <c r="M53" s="233">
        <f t="shared" si="3"/>
        <v>0</v>
      </c>
      <c r="N53" s="233">
        <f t="shared" si="3"/>
        <v>0</v>
      </c>
      <c r="O53" s="233">
        <f t="shared" si="3"/>
        <v>0</v>
      </c>
      <c r="P53" s="231"/>
      <c r="Q53" s="97"/>
      <c r="R53" s="77"/>
      <c r="T53" s="55"/>
      <c r="U53" s="51"/>
    </row>
    <row r="54" spans="2:22" ht="17.149999999999999">
      <c r="B54" s="80" t="s">
        <v>83</v>
      </c>
      <c r="C54" s="89"/>
      <c r="D54" s="89"/>
      <c r="E54" s="136"/>
      <c r="F54" s="144"/>
      <c r="G54" s="64">
        <f>E53*F54</f>
        <v>0</v>
      </c>
      <c r="H54" s="64"/>
      <c r="I54" s="64">
        <f t="shared" si="1"/>
        <v>0</v>
      </c>
      <c r="K54" s="90"/>
      <c r="L54" s="233">
        <f t="shared" si="2"/>
        <v>0</v>
      </c>
      <c r="M54" s="233">
        <f t="shared" si="3"/>
        <v>0</v>
      </c>
      <c r="N54" s="233">
        <f t="shared" si="3"/>
        <v>0</v>
      </c>
      <c r="O54" s="233">
        <f t="shared" si="3"/>
        <v>0</v>
      </c>
      <c r="P54" s="231"/>
      <c r="Q54" s="97"/>
      <c r="R54" s="77"/>
      <c r="T54" s="55"/>
      <c r="U54" s="51"/>
    </row>
    <row r="55" spans="2:22">
      <c r="B55" s="34" t="s">
        <v>84</v>
      </c>
      <c r="C55" s="89"/>
      <c r="D55" s="89"/>
      <c r="E55" s="89"/>
      <c r="F55" s="48"/>
      <c r="G55" s="64">
        <f>E55</f>
        <v>0</v>
      </c>
      <c r="H55" s="64">
        <f>(E55*(D55+D56))*12</f>
        <v>0</v>
      </c>
      <c r="I55" s="64">
        <f t="shared" si="1"/>
        <v>0</v>
      </c>
      <c r="K55" s="90"/>
      <c r="L55" s="233">
        <f t="shared" si="2"/>
        <v>0</v>
      </c>
      <c r="M55" s="233">
        <f t="shared" si="3"/>
        <v>0</v>
      </c>
      <c r="N55" s="233">
        <f t="shared" si="3"/>
        <v>0</v>
      </c>
      <c r="O55" s="233">
        <f t="shared" si="3"/>
        <v>0</v>
      </c>
      <c r="P55" s="231"/>
      <c r="Q55" s="97"/>
      <c r="R55" s="77"/>
      <c r="T55" s="55"/>
      <c r="U55" s="51"/>
    </row>
    <row r="56" spans="2:22" ht="17.149999999999999">
      <c r="B56" s="80" t="s">
        <v>85</v>
      </c>
      <c r="C56" s="89"/>
      <c r="D56" s="89"/>
      <c r="E56" s="136"/>
      <c r="F56" s="144"/>
      <c r="G56" s="64">
        <f>E55*F56</f>
        <v>0</v>
      </c>
      <c r="H56" s="64"/>
      <c r="I56" s="64">
        <f t="shared" si="1"/>
        <v>0</v>
      </c>
      <c r="K56" s="90"/>
      <c r="L56" s="233">
        <f t="shared" si="2"/>
        <v>0</v>
      </c>
      <c r="M56" s="233">
        <f t="shared" si="3"/>
        <v>0</v>
      </c>
      <c r="N56" s="233">
        <f t="shared" si="3"/>
        <v>0</v>
      </c>
      <c r="O56" s="233">
        <f t="shared" si="3"/>
        <v>0</v>
      </c>
      <c r="P56" s="231"/>
      <c r="Q56" s="97"/>
      <c r="R56" s="77"/>
      <c r="T56" s="55"/>
      <c r="U56" s="51"/>
    </row>
    <row r="57" spans="2:22">
      <c r="B57" s="34" t="s">
        <v>86</v>
      </c>
      <c r="C57" s="89"/>
      <c r="D57" s="89"/>
      <c r="E57" s="89"/>
      <c r="F57" s="48"/>
      <c r="G57" s="64">
        <f>E57</f>
        <v>0</v>
      </c>
      <c r="H57" s="64">
        <f>(E57*(D57+D58))*12</f>
        <v>0</v>
      </c>
      <c r="I57" s="64">
        <f t="shared" si="1"/>
        <v>0</v>
      </c>
      <c r="K57" s="90"/>
      <c r="L57" s="233">
        <f t="shared" si="2"/>
        <v>0</v>
      </c>
      <c r="M57" s="233">
        <f t="shared" si="3"/>
        <v>0</v>
      </c>
      <c r="N57" s="233">
        <f t="shared" si="3"/>
        <v>0</v>
      </c>
      <c r="O57" s="233">
        <f t="shared" si="3"/>
        <v>0</v>
      </c>
      <c r="P57" s="231"/>
      <c r="Q57" s="97"/>
      <c r="R57" s="77"/>
      <c r="T57" s="55"/>
      <c r="U57"/>
    </row>
    <row r="58" spans="2:22" ht="17.149999999999999">
      <c r="B58" s="80" t="s">
        <v>87</v>
      </c>
      <c r="C58" s="89"/>
      <c r="D58" s="89"/>
      <c r="E58" s="136"/>
      <c r="F58" s="144"/>
      <c r="G58" s="64">
        <f>E57*F58</f>
        <v>0</v>
      </c>
      <c r="H58" s="64"/>
      <c r="I58" s="64">
        <f t="shared" si="1"/>
        <v>0</v>
      </c>
      <c r="K58" s="90"/>
      <c r="L58" s="233">
        <f t="shared" si="2"/>
        <v>0</v>
      </c>
      <c r="M58" s="233">
        <f t="shared" si="3"/>
        <v>0</v>
      </c>
      <c r="N58" s="233">
        <f t="shared" si="3"/>
        <v>0</v>
      </c>
      <c r="O58" s="233">
        <f t="shared" si="3"/>
        <v>0</v>
      </c>
      <c r="P58" s="231"/>
      <c r="Q58" s="97"/>
      <c r="R58" s="77"/>
      <c r="T58" s="55"/>
      <c r="U58" s="51"/>
    </row>
    <row r="59" spans="2:22" ht="17.149999999999999">
      <c r="B59" s="384" t="s">
        <v>88</v>
      </c>
      <c r="C59" s="91"/>
      <c r="D59" s="91"/>
      <c r="E59" s="91"/>
      <c r="F59" s="48"/>
      <c r="G59" s="85">
        <f>E59</f>
        <v>0</v>
      </c>
      <c r="H59" s="85">
        <f>G59*D59*12</f>
        <v>0</v>
      </c>
      <c r="I59" s="64">
        <f t="shared" si="1"/>
        <v>0</v>
      </c>
      <c r="K59" s="80"/>
      <c r="L59" s="233">
        <f t="shared" si="2"/>
        <v>0</v>
      </c>
      <c r="M59" s="233">
        <f t="shared" si="3"/>
        <v>0</v>
      </c>
      <c r="N59" s="233">
        <f t="shared" si="3"/>
        <v>0</v>
      </c>
      <c r="O59" s="233">
        <f t="shared" si="3"/>
        <v>0</v>
      </c>
      <c r="P59" s="231"/>
      <c r="Q59" s="97"/>
      <c r="R59" s="77"/>
      <c r="T59" s="55"/>
      <c r="U59" s="51"/>
    </row>
    <row r="60" spans="2:22">
      <c r="B60" s="34" t="s">
        <v>89</v>
      </c>
      <c r="C60" s="34">
        <f>SUMPRODUCT(C43:C59,D43:D59)</f>
        <v>0</v>
      </c>
      <c r="D60" s="34">
        <f>SUM(D43:D59)</f>
        <v>0</v>
      </c>
      <c r="E60" s="34"/>
      <c r="F60" s="34"/>
      <c r="G60" s="382"/>
      <c r="H60" s="383">
        <f>SUM(H43:H59)</f>
        <v>0</v>
      </c>
      <c r="I60" s="383">
        <f>SUM(I43:I59)</f>
        <v>0</v>
      </c>
      <c r="K60" s="280" t="s">
        <v>90</v>
      </c>
      <c r="L60" s="315">
        <f>SUM(L43:L59)</f>
        <v>0</v>
      </c>
      <c r="M60" s="315">
        <f t="shared" ref="M60:O60" si="4">SUM(M43:M59)</f>
        <v>0</v>
      </c>
      <c r="N60" s="315">
        <f t="shared" si="4"/>
        <v>0</v>
      </c>
      <c r="O60" s="316">
        <f t="shared" si="4"/>
        <v>0</v>
      </c>
      <c r="P60" s="232"/>
      <c r="Q60" s="97"/>
      <c r="R60" s="77"/>
      <c r="T60" s="55"/>
      <c r="U60" s="51"/>
    </row>
    <row r="61" spans="2:22">
      <c r="B61" s="34" t="s">
        <v>91</v>
      </c>
      <c r="C61" s="190" t="str">
        <f>IF(C60+'Non-Residential'!C50=0,"",C60/(C60+'Non-Residential'!C50))</f>
        <v/>
      </c>
      <c r="E61" s="34"/>
      <c r="F61" s="38"/>
      <c r="G61" s="38"/>
      <c r="H61" s="38"/>
      <c r="I61" s="38"/>
      <c r="K61" s="281" t="s">
        <v>92</v>
      </c>
      <c r="L61" s="282">
        <f>IF(D60=0, 0, SUM(L43:L59)/D60)</f>
        <v>0</v>
      </c>
      <c r="M61" s="282">
        <f>IF(D60=0, 0, SUM(M43:M59)/D60)</f>
        <v>0</v>
      </c>
      <c r="N61" s="282">
        <f>IF(D60=0, 0, SUM(N43:N59)/D60)</f>
        <v>0</v>
      </c>
      <c r="O61" s="283">
        <f>IF(D60=0, 0, ROUND(SUM(O43:O59)/D60,2))</f>
        <v>0</v>
      </c>
      <c r="P61" s="188"/>
      <c r="Q61" s="97"/>
      <c r="R61" s="77"/>
      <c r="T61" s="188"/>
      <c r="U61" s="188"/>
      <c r="V61" s="188"/>
    </row>
    <row r="62" spans="2:22" ht="15" customHeight="1">
      <c r="B62" s="34"/>
      <c r="C62" s="339" t="s">
        <v>93</v>
      </c>
      <c r="D62" s="340">
        <f>D44+D46+D48+D50+D52+D54+D56+D58</f>
        <v>0</v>
      </c>
      <c r="E62" s="34"/>
      <c r="F62" s="34"/>
      <c r="G62" s="164"/>
      <c r="H62" s="38"/>
      <c r="I62" s="38"/>
      <c r="K62" s="417" t="s">
        <v>94</v>
      </c>
      <c r="L62" s="418"/>
      <c r="M62" s="418"/>
      <c r="N62" s="418"/>
      <c r="O62" s="419"/>
      <c r="P62" s="34"/>
      <c r="Q62" s="97"/>
      <c r="R62" s="77"/>
      <c r="T62" s="188"/>
      <c r="U62" s="188"/>
      <c r="V62" s="188"/>
    </row>
    <row r="63" spans="2:22" s="32" customFormat="1">
      <c r="C63" s="129" t="s">
        <v>95</v>
      </c>
      <c r="D63" s="130">
        <f>D60-D62</f>
        <v>0</v>
      </c>
      <c r="E63" s="84"/>
      <c r="F63" s="143"/>
      <c r="G63" s="187"/>
      <c r="H63" s="86"/>
      <c r="I63" s="86"/>
      <c r="J63"/>
      <c r="K63" s="319" t="s">
        <v>96</v>
      </c>
      <c r="L63" s="351" t="str">
        <f>IF(L61&gt;=0.3,'Lending flex scorecard (hide)'!B22,IF(AND(L61&lt;0.3,L61&gt;=0.25),'Lending flex scorecard (hide)'!B21,IF(AND(L61&lt;0.25,L61&gt;=0.2),'Lending flex scorecard (hide)'!B20,IF(L61&lt;0.2,"N.A.",""))))</f>
        <v>N.A.</v>
      </c>
      <c r="M63" s="351" t="str">
        <f>IF(M61&gt;=0.3,'Lending flex scorecard (hide)'!C22,IF(AND(M61&lt;0.3,M61&gt;=0.25),'Lending flex scorecard (hide)'!C21,IF(AND(M61&lt;0.25,M61&gt;=0.2),'Lending flex scorecard (hide)'!C20,IF(M61&lt;0.2,"N.A.",""))))</f>
        <v>N.A.</v>
      </c>
      <c r="N63" s="351" t="str">
        <f>IF(N61&gt;=0.3,'Lending flex scorecard (hide)'!D22,IF(AND(N61&lt;0.3,N61&gt;=0.25),'Lending flex scorecard (hide)'!D21,IF(AND(N61&lt;0.25,N61&gt;=0.2),'Lending flex scorecard (hide)'!D20,IF(N61&lt;0.2,"N.A.",""))))</f>
        <v>N.A.</v>
      </c>
      <c r="O63" s="326" t="str">
        <f>IF(O61&gt;=0.3,'Lending flex scorecard (hide)'!E22,IF(AND(O61&lt;0.3,O61&gt;=0.25),'Lending flex scorecard (hide)'!E21,IF(AND(O61&lt;0.25,O61&gt;=0.2),'Lending flex scorecard (hide)'!E20,IF(O61&lt;0.2,"N.A.",""))))</f>
        <v>N.A.</v>
      </c>
      <c r="P63" s="84"/>
      <c r="Q63" s="97"/>
      <c r="R63" s="77"/>
    </row>
    <row r="64" spans="2:22" s="32" customFormat="1">
      <c r="B64" s="34"/>
      <c r="C64" s="84"/>
      <c r="D64" s="84"/>
      <c r="E64" s="84"/>
      <c r="F64" s="143"/>
      <c r="G64" s="187"/>
      <c r="H64" s="86"/>
      <c r="I64" s="86"/>
      <c r="J64"/>
      <c r="K64" s="317" t="s">
        <v>97</v>
      </c>
      <c r="L64" s="352" t="str">
        <f>IF(L61&gt;=0.3,'Lending flex scorecard (hide)'!B27,IF(AND(L61&lt;0.3,L61&gt;=0.25),'Lending flex scorecard (hide)'!B26,IF(AND(L61&lt;0.25,L61&gt;=0.2),'Lending flex scorecard (hide)'!B25,IF(L61&lt;0.2,"N.A.",""))))</f>
        <v>N.A.</v>
      </c>
      <c r="M64" s="352" t="str">
        <f>IF(M61&gt;=0.3,'Lending flex scorecard (hide)'!C27,IF(AND(M61&lt;0.3,M61&gt;=0.25),'Lending flex scorecard (hide)'!C26,IF(AND(M61&lt;0.25,M61&gt;=0.2),'Lending flex scorecard (hide)'!C25,IF(M61&lt;0.2,"N.A.",""))))</f>
        <v>N.A.</v>
      </c>
      <c r="N64" s="352" t="str">
        <f>IF(N61&gt;=0.3,'Lending flex scorecard (hide)'!D27,IF(AND(N61&lt;0.3,N61&gt;=0.25),'Lending flex scorecard (hide)'!D26,IF(AND(N61&lt;0.25,N61&gt;=0.2),'Lending flex scorecard (hide)'!D25,IF(N61&lt;0.2,"N.A.",""))))</f>
        <v>N.A.</v>
      </c>
      <c r="O64" s="327" t="str">
        <f>IF(O61&gt;=0.3,'Lending flex scorecard (hide)'!E27,IF(AND(O61&lt;0.3,O61&gt;=0.25),'Lending flex scorecard (hide)'!E26,IF(AND(O61&lt;0.25,O61&gt;=0.2),'Lending flex scorecard (hide)'!E25,IF(O61&lt;0.2,"N.A.",""))))</f>
        <v>N.A.</v>
      </c>
      <c r="P64" s="84"/>
      <c r="Q64" s="97"/>
      <c r="R64" s="77"/>
    </row>
    <row r="65" spans="2:18" ht="14.5" customHeight="1">
      <c r="B65" s="34" t="s">
        <v>98</v>
      </c>
      <c r="C65" s="34"/>
      <c r="D65" s="34"/>
      <c r="E65" s="426" t="s">
        <v>99</v>
      </c>
      <c r="F65" s="426"/>
      <c r="G65" s="426"/>
      <c r="H65" s="426"/>
      <c r="I65" s="93">
        <v>0</v>
      </c>
      <c r="K65" s="318" t="s">
        <v>100</v>
      </c>
      <c r="L65" s="353" t="str">
        <f>IF(L61&gt;=0.3,'Lending flex scorecard (hide)'!B32,IF(AND(L61&lt;0.3,L61&gt;=0.25),'Lending flex scorecard (hide)'!B31,IF(AND(L61&lt;0.25,L61&gt;=0.2),'Lending flex scorecard (hide)'!B30,IF(L61&lt;0.2,"N.A.",""))))</f>
        <v>N.A.</v>
      </c>
      <c r="M65" s="353" t="str">
        <f>IF(M61&gt;=0.3,'Lending flex scorecard (hide)'!C32,IF(AND(M61&lt;0.3,M61&gt;=0.25),'Lending flex scorecard (hide)'!C31,IF(AND(M61&lt;0.25,M61&gt;=0.2),'Lending flex scorecard (hide)'!C30,IF(M61&lt;0.2,"N.A.",""))))</f>
        <v>N.A.</v>
      </c>
      <c r="N65" s="353" t="str">
        <f>IF(N61&gt;=0.3,'Lending flex scorecard (hide)'!D32,IF(AND(N61&lt;0.3,N61&gt;=0.25),'Lending flex scorecard (hide)'!D31,IF(AND(N61&lt;0.25,N61&gt;=0.2),'Lending flex scorecard (hide)'!D30,IF(N61&lt;0.2,"N.A.",""))))</f>
        <v>N.A.</v>
      </c>
      <c r="O65" s="328" t="str">
        <f>IF(O61&gt;=0.3,'Lending flex scorecard (hide)'!E32,IF(AND(O61&lt;0.3,O61&gt;=0.25),'Lending flex scorecard (hide)'!E31,IF(AND(O61&lt;0.25,O61&gt;=0.2),'Lending flex scorecard (hide)'!E30,IF(O61&lt;0.2,"N.A.",""))))</f>
        <v>N.A.</v>
      </c>
      <c r="P65" s="34"/>
      <c r="Q65" s="97"/>
      <c r="R65" s="77"/>
    </row>
    <row r="66" spans="2:18" ht="17.149999999999999">
      <c r="B66" s="34" t="s">
        <v>101</v>
      </c>
      <c r="C66" s="34"/>
      <c r="D66" s="34"/>
      <c r="E66" s="34"/>
      <c r="F66" s="34"/>
      <c r="G66" s="34"/>
      <c r="H66" s="80"/>
      <c r="I66" s="82">
        <f>I60*I65</f>
        <v>0</v>
      </c>
      <c r="K66" s="417" t="s">
        <v>102</v>
      </c>
      <c r="L66" s="418"/>
      <c r="M66" s="418"/>
      <c r="N66" s="418"/>
      <c r="O66" s="419"/>
      <c r="P66" s="34"/>
      <c r="Q66" s="97"/>
      <c r="R66" s="77"/>
    </row>
    <row r="67" spans="2:18">
      <c r="B67" s="34" t="s">
        <v>103</v>
      </c>
      <c r="C67" s="34"/>
      <c r="D67" s="34"/>
      <c r="E67" s="34"/>
      <c r="F67" s="34"/>
      <c r="G67" s="34"/>
      <c r="H67" s="34"/>
      <c r="I67" s="64">
        <f>I60-I66</f>
        <v>0</v>
      </c>
      <c r="K67" s="319" t="s">
        <v>96</v>
      </c>
      <c r="L67" s="351" t="str">
        <f>IF(L61&gt;=0.3,'Lending flex scorecard (hide)'!B6,IF(AND(L61&lt;0.3,L61&gt;=0.25),'Lending flex scorecard (hide)'!B5,IF(AND(L61&lt;0.25,L61&gt;=0.2),'Lending flex scorecard (hide)'!B4,IF(L61&lt;0.2,"N.A.",""))))</f>
        <v>N.A.</v>
      </c>
      <c r="M67" s="351" t="str">
        <f>IF(M61&gt;=0.3,'Lending flex scorecard (hide)'!C6,IF(AND(M61&lt;0.3,M61&gt;=0.25),'Lending flex scorecard (hide)'!C5,IF(AND(M61&lt;0.25,M61&gt;=0.2),'Lending flex scorecard (hide)'!C4,IF(M61&lt;0.2,"N.A.",""))))</f>
        <v>N.A.</v>
      </c>
      <c r="N67" s="351" t="str">
        <f>IF(N61&gt;=0.3,'Lending flex scorecard (hide)'!D6,IF(AND(N61&lt;0.3,N61&gt;=0.25),'Lending flex scorecard (hide)'!D5,IF(AND(N61&lt;0.25,N61&gt;=0.2),'Lending flex scorecard (hide)'!D4,IF(N61&lt;0.2,"N.A.",""))))</f>
        <v>N.A.</v>
      </c>
      <c r="O67" s="326" t="str">
        <f>IF(O61&gt;=0.3,'Lending flex scorecard (hide)'!E6,IF(AND(O61&lt;0.3,O61&gt;=0.25),'Lending flex scorecard (hide)'!E5,IF(AND(O61&lt;0.25,O61&gt;=0.2),'Lending flex scorecard (hide)'!E4,IF(O61&lt;0.2,"N.A.",""))))</f>
        <v>N.A.</v>
      </c>
      <c r="P67" s="34"/>
      <c r="Q67" s="97"/>
      <c r="R67" s="77"/>
    </row>
    <row r="68" spans="2:18" ht="15.9">
      <c r="B68" s="34"/>
      <c r="C68" s="34"/>
      <c r="D68" s="34"/>
      <c r="E68" s="171" t="s">
        <v>56</v>
      </c>
      <c r="F68" s="34"/>
      <c r="G68" s="171" t="s">
        <v>104</v>
      </c>
      <c r="H68" s="34"/>
      <c r="I68" s="34"/>
      <c r="K68" s="317" t="s">
        <v>97</v>
      </c>
      <c r="L68" s="352" t="str">
        <f>IF(L61&gt;=0.3,'Lending flex scorecard (hide)'!B11,IF(AND(L61&lt;0.3,L61&gt;=0.25),'Lending flex scorecard (hide)'!B10,IF(AND(L61&lt;0.25,L61&gt;=0.2),'Lending flex scorecard (hide)'!B9,IF(L61&lt;0.2,"N.A.",""))))</f>
        <v>N.A.</v>
      </c>
      <c r="M68" s="352" t="str">
        <f>IF(M61&gt;=0.3,'Lending flex scorecard (hide)'!C11,IF(AND(M61&lt;0.3,M61&gt;=0.25),'Lending flex scorecard (hide)'!C10,IF(AND(M61&lt;0.25,M61&gt;=0.2),'Lending flex scorecard (hide)'!C9,IF(M61&lt;0.2,"N.A.",""))))</f>
        <v>N.A.</v>
      </c>
      <c r="N68" s="352" t="str">
        <f>IF(N61&gt;=0.3,'Lending flex scorecard (hide)'!D11,IF(AND(N61&lt;0.3,N61&gt;=0.25),'Lending flex scorecard (hide)'!D10,IF(AND(N61&lt;0.25,N61&gt;=0.2),'Lending flex scorecard (hide)'!D9,IF(N61&lt;0.2,"N.A.",""))))</f>
        <v>N.A.</v>
      </c>
      <c r="O68" s="327" t="str">
        <f>IF(O61&gt;=0.3,'Lending flex scorecard (hide)'!E11,IF(AND(O61&lt;0.3,O61&gt;=0.25),'Lending flex scorecard (hide)'!E10,IF(AND(O61&lt;0.25,O61&gt;=0.2),'Lending flex scorecard (hide)'!E9,IF(O61&lt;0.2,"N.A.",""))))</f>
        <v>N.A.</v>
      </c>
      <c r="P68" s="34"/>
      <c r="Q68" s="97"/>
      <c r="R68" s="77"/>
    </row>
    <row r="69" spans="2:18" ht="17.149999999999999">
      <c r="B69" s="98" t="s">
        <v>105</v>
      </c>
      <c r="C69" s="34"/>
      <c r="D69" s="88" t="s">
        <v>106</v>
      </c>
      <c r="E69" s="117" t="s">
        <v>107</v>
      </c>
      <c r="F69" s="34"/>
      <c r="G69" s="120"/>
      <c r="H69" s="34"/>
      <c r="I69" s="34"/>
      <c r="K69" s="318" t="s">
        <v>100</v>
      </c>
      <c r="L69" s="353" t="str">
        <f>IF(L61&gt;=0.3,'Lending flex scorecard (hide)'!B16,IF(AND(L61&lt;0.3,L61&gt;=0.25),'Lending flex scorecard (hide)'!B15,IF(AND(L61&lt;0.25,L61&gt;=0.2),'Lending flex scorecard (hide)'!B14,IF(L61&lt;0.2,"N.A.",""))))</f>
        <v>N.A.</v>
      </c>
      <c r="M69" s="353" t="str">
        <f>IF(M61&gt;=0.3,'Lending flex scorecard (hide)'!C16,IF(AND(M61&lt;0.3,M61&gt;=0.25),'Lending flex scorecard (hide)'!C15,IF(AND(M61&lt;0.25,M61&gt;=0.2),'Lending flex scorecard (hide)'!C14,IF(M61&lt;0.2,"N.A.",""))))</f>
        <v>N.A.</v>
      </c>
      <c r="N69" s="353" t="str">
        <f>IF(N61&gt;=0.3,'Lending flex scorecard (hide)'!D16,IF(AND(N61&lt;0.3,N61&gt;=0.25),'Lending flex scorecard (hide)'!D15,IF(AND(N61&lt;0.25,N61&gt;=0.2),'Lending flex scorecard (hide)'!D14,IF(N61&lt;0.2,"N.A.",""))))</f>
        <v>N.A.</v>
      </c>
      <c r="O69" s="328" t="str">
        <f>IF(O61&gt;=0.3,'Lending flex scorecard (hide)'!E16,IF(AND(O61&lt;0.3,O61&gt;=0.25),'Lending flex scorecard (hide)'!E15,IF(AND(O61&lt;0.25,O61&gt;=0.2),'Lending flex scorecard (hide)'!E14,IF(O61&lt;0.2,"N.A.",""))))</f>
        <v>N.A.</v>
      </c>
      <c r="P69" s="34"/>
      <c r="Q69" s="97"/>
      <c r="R69" s="77"/>
    </row>
    <row r="70" spans="2:18">
      <c r="B70" s="34" t="s">
        <v>108</v>
      </c>
      <c r="C70" s="34"/>
      <c r="D70" s="89"/>
      <c r="E70" s="118"/>
      <c r="F70" s="34"/>
      <c r="G70" s="121">
        <f>E70*D70*12</f>
        <v>0</v>
      </c>
      <c r="H70" s="34"/>
      <c r="I70" s="64">
        <f>G70</f>
        <v>0</v>
      </c>
      <c r="K70" s="34" t="s">
        <v>109</v>
      </c>
      <c r="M70" s="34"/>
      <c r="N70" s="34"/>
      <c r="O70" s="34"/>
      <c r="P70" s="34"/>
      <c r="Q70" s="97"/>
      <c r="R70" s="77"/>
    </row>
    <row r="71" spans="2:18">
      <c r="B71" s="34" t="s">
        <v>110</v>
      </c>
      <c r="C71" s="34"/>
      <c r="D71" s="89"/>
      <c r="E71" s="119"/>
      <c r="F71" s="34"/>
      <c r="G71" s="121">
        <f>E71*D71*12</f>
        <v>0</v>
      </c>
      <c r="H71" s="34"/>
      <c r="I71" s="64">
        <f t="shared" ref="I71:I73" si="5">G71</f>
        <v>0</v>
      </c>
      <c r="K71" s="34"/>
      <c r="M71" s="34"/>
      <c r="N71" s="34"/>
      <c r="O71" s="34"/>
      <c r="P71" s="34"/>
      <c r="Q71" s="97"/>
      <c r="R71" s="77"/>
    </row>
    <row r="72" spans="2:18" ht="17.149999999999999">
      <c r="B72" s="34" t="s">
        <v>111</v>
      </c>
      <c r="C72" s="34"/>
      <c r="D72" s="34"/>
      <c r="E72" s="34"/>
      <c r="F72" s="87"/>
      <c r="G72" s="122"/>
      <c r="H72" s="50"/>
      <c r="I72" s="82">
        <f t="shared" si="5"/>
        <v>0</v>
      </c>
      <c r="K72" s="50"/>
      <c r="M72" s="34"/>
      <c r="N72" s="34"/>
      <c r="O72" s="34"/>
      <c r="P72" s="34"/>
      <c r="Q72" s="97"/>
      <c r="R72" s="77"/>
    </row>
    <row r="73" spans="2:18">
      <c r="B73" s="34" t="s">
        <v>112</v>
      </c>
      <c r="C73" s="34"/>
      <c r="D73" s="34"/>
      <c r="E73" s="34"/>
      <c r="F73" s="49"/>
      <c r="G73" s="121">
        <f>SUM(G70:G72)</f>
        <v>0</v>
      </c>
      <c r="H73" s="34"/>
      <c r="I73" s="64">
        <f t="shared" si="5"/>
        <v>0</v>
      </c>
      <c r="K73" s="34"/>
      <c r="M73" s="34"/>
      <c r="N73" s="34"/>
      <c r="O73" s="34"/>
      <c r="P73" s="34"/>
      <c r="Q73" s="97"/>
      <c r="R73" s="77"/>
    </row>
    <row r="74" spans="2:18">
      <c r="B74" s="34" t="s">
        <v>98</v>
      </c>
      <c r="C74" s="34"/>
      <c r="D74" s="34"/>
      <c r="E74" s="34"/>
      <c r="F74" s="34"/>
      <c r="G74" s="123">
        <f>I65</f>
        <v>0</v>
      </c>
      <c r="H74" s="311"/>
      <c r="I74" s="64"/>
      <c r="K74" s="49"/>
      <c r="M74" s="34"/>
      <c r="N74" s="34"/>
      <c r="O74" s="34"/>
      <c r="P74" s="34"/>
      <c r="Q74" s="97"/>
      <c r="R74" s="77"/>
    </row>
    <row r="75" spans="2:18" ht="17.149999999999999">
      <c r="B75" s="34" t="s">
        <v>101</v>
      </c>
      <c r="C75" s="34"/>
      <c r="D75" s="34"/>
      <c r="E75" s="34"/>
      <c r="F75" s="34"/>
      <c r="G75" s="124">
        <f>G74*G73</f>
        <v>0</v>
      </c>
      <c r="H75" s="80"/>
      <c r="I75" s="82">
        <f>G75</f>
        <v>0</v>
      </c>
      <c r="K75" s="80"/>
      <c r="M75" s="34"/>
      <c r="N75" s="34"/>
      <c r="O75" s="34"/>
      <c r="P75" s="34"/>
      <c r="Q75" s="97"/>
      <c r="R75" s="77"/>
    </row>
    <row r="76" spans="2:18">
      <c r="B76" s="34" t="s">
        <v>103</v>
      </c>
      <c r="C76" s="34"/>
      <c r="D76" s="34"/>
      <c r="E76" s="34"/>
      <c r="F76" s="34"/>
      <c r="G76" s="125">
        <f>G73-G75</f>
        <v>0</v>
      </c>
      <c r="H76" s="34"/>
      <c r="I76" s="64">
        <f>G76</f>
        <v>0</v>
      </c>
      <c r="K76" s="34"/>
      <c r="M76" s="34"/>
      <c r="N76" s="34"/>
      <c r="O76" s="34"/>
      <c r="P76" s="34"/>
      <c r="Q76" s="97"/>
      <c r="R76" s="77"/>
    </row>
    <row r="77" spans="2:18">
      <c r="B77" s="34"/>
      <c r="C77" s="34"/>
      <c r="D77" s="34"/>
      <c r="E77" s="34"/>
      <c r="F77" s="34"/>
      <c r="G77" s="34"/>
      <c r="H77" s="34"/>
      <c r="I77" s="34"/>
      <c r="K77" s="34"/>
      <c r="M77" s="34"/>
      <c r="N77" s="34"/>
      <c r="O77" s="34"/>
      <c r="P77" s="34"/>
      <c r="Q77" s="97"/>
      <c r="R77" s="77"/>
    </row>
    <row r="78" spans="2:18">
      <c r="B78" s="34"/>
      <c r="C78" s="34"/>
      <c r="D78" s="34"/>
      <c r="E78" s="34"/>
      <c r="F78" s="34"/>
      <c r="G78" s="34"/>
      <c r="H78" s="34"/>
      <c r="I78" s="34"/>
      <c r="K78" s="34"/>
      <c r="M78" s="34"/>
      <c r="N78" s="34"/>
      <c r="O78" s="34"/>
      <c r="P78" s="34"/>
      <c r="Q78" s="97"/>
      <c r="R78" s="77"/>
    </row>
    <row r="79" spans="2:18" ht="15.9">
      <c r="B79" s="98" t="s">
        <v>113</v>
      </c>
      <c r="C79" s="34"/>
      <c r="D79" s="34"/>
      <c r="E79" s="34"/>
      <c r="F79" s="34"/>
      <c r="G79" s="171" t="s">
        <v>104</v>
      </c>
      <c r="H79" s="34"/>
      <c r="I79" s="34"/>
      <c r="K79" s="34"/>
      <c r="M79" s="34"/>
      <c r="N79" s="34"/>
      <c r="O79" s="34"/>
      <c r="P79" s="34"/>
      <c r="Q79" s="97"/>
      <c r="R79" s="77"/>
    </row>
    <row r="80" spans="2:18">
      <c r="B80" s="199" t="s">
        <v>114</v>
      </c>
      <c r="C80" s="34"/>
      <c r="D80" s="34"/>
      <c r="E80" s="34"/>
      <c r="F80" s="34"/>
      <c r="G80" s="118"/>
      <c r="H80" s="34"/>
      <c r="I80" s="64">
        <f>G80</f>
        <v>0</v>
      </c>
      <c r="K80" s="34"/>
      <c r="M80" s="34"/>
      <c r="N80" s="34"/>
      <c r="O80" s="34"/>
      <c r="P80" s="34"/>
      <c r="Q80" s="97"/>
      <c r="R80" s="77"/>
    </row>
    <row r="81" spans="2:18">
      <c r="B81" s="34" t="s">
        <v>98</v>
      </c>
      <c r="C81" s="34"/>
      <c r="D81" s="34"/>
      <c r="E81" s="34"/>
      <c r="F81" s="34"/>
      <c r="G81" s="126"/>
      <c r="H81" s="49"/>
      <c r="I81" s="64"/>
      <c r="K81" s="49"/>
      <c r="M81" s="34"/>
      <c r="N81" s="34"/>
      <c r="O81" s="34"/>
      <c r="P81" s="34"/>
      <c r="Q81" s="97"/>
      <c r="R81" s="77"/>
    </row>
    <row r="82" spans="2:18" ht="17.149999999999999">
      <c r="B82" s="34" t="s">
        <v>101</v>
      </c>
      <c r="C82" s="34"/>
      <c r="D82" s="34"/>
      <c r="E82" s="34"/>
      <c r="F82" s="34"/>
      <c r="G82" s="124">
        <f>G81*G80</f>
        <v>0</v>
      </c>
      <c r="H82" s="80"/>
      <c r="I82" s="82">
        <f>G82</f>
        <v>0</v>
      </c>
      <c r="K82" s="80"/>
      <c r="M82" s="34"/>
      <c r="N82" s="34"/>
      <c r="O82" s="34"/>
      <c r="P82" s="34"/>
      <c r="Q82" s="97"/>
      <c r="R82" s="77"/>
    </row>
    <row r="83" spans="2:18">
      <c r="B83" s="34" t="s">
        <v>103</v>
      </c>
      <c r="C83" s="34"/>
      <c r="D83" s="34"/>
      <c r="E83" s="34"/>
      <c r="F83" s="34"/>
      <c r="G83" s="125">
        <f>G80-G82</f>
        <v>0</v>
      </c>
      <c r="H83" s="34"/>
      <c r="I83" s="64">
        <f>G83</f>
        <v>0</v>
      </c>
      <c r="K83" s="34"/>
      <c r="M83" s="34"/>
      <c r="N83" s="34"/>
      <c r="O83" s="34"/>
      <c r="P83" s="34"/>
      <c r="Q83" s="97"/>
      <c r="R83" s="77"/>
    </row>
    <row r="84" spans="2:18">
      <c r="B84" s="34"/>
      <c r="C84" s="34"/>
      <c r="D84" s="34"/>
      <c r="E84" s="34"/>
      <c r="F84" s="34"/>
      <c r="G84" s="34"/>
      <c r="H84" s="34"/>
      <c r="I84" s="34"/>
      <c r="K84" s="34"/>
      <c r="M84" s="34"/>
      <c r="N84" s="34"/>
      <c r="O84" s="34"/>
      <c r="P84" s="34"/>
      <c r="Q84" s="97"/>
      <c r="R84" s="77"/>
    </row>
    <row r="85" spans="2:18" s="30" customFormat="1">
      <c r="B85" s="79" t="s">
        <v>115</v>
      </c>
      <c r="C85" s="79"/>
      <c r="D85" s="79"/>
      <c r="E85" s="79"/>
      <c r="F85" s="79"/>
      <c r="G85" s="79"/>
      <c r="H85" s="79"/>
      <c r="I85" s="94">
        <f>I83+I76+I67</f>
        <v>0</v>
      </c>
      <c r="J85"/>
      <c r="K85" s="79"/>
      <c r="L85" s="79"/>
      <c r="M85" s="79"/>
      <c r="N85" s="79"/>
      <c r="O85" s="79"/>
      <c r="P85" s="79"/>
      <c r="Q85" s="97"/>
      <c r="R85" s="77"/>
    </row>
    <row r="86" spans="2:18" s="30" customFormat="1">
      <c r="B86" s="79"/>
      <c r="C86" s="79"/>
      <c r="D86" s="79"/>
      <c r="E86" s="79"/>
      <c r="F86" s="79"/>
      <c r="G86" s="79"/>
      <c r="H86" s="79"/>
      <c r="I86" s="79"/>
      <c r="J86"/>
      <c r="K86" s="79"/>
      <c r="L86" s="79"/>
      <c r="M86" s="79"/>
      <c r="N86" s="79"/>
      <c r="O86" s="79"/>
      <c r="P86" s="79"/>
      <c r="Q86" s="97"/>
      <c r="R86" s="77"/>
    </row>
    <row r="87" spans="2:18">
      <c r="B87" s="34"/>
      <c r="C87" s="34"/>
      <c r="D87" s="34"/>
      <c r="E87" s="34"/>
      <c r="F87" s="34"/>
      <c r="G87" s="34"/>
      <c r="H87" s="87"/>
      <c r="I87" s="47"/>
      <c r="K87" s="47"/>
      <c r="L87" s="47"/>
      <c r="M87" s="34"/>
      <c r="N87" s="34"/>
      <c r="O87" s="34"/>
      <c r="P87" s="34"/>
      <c r="Q87" s="97"/>
      <c r="R87" s="77"/>
    </row>
    <row r="88" spans="2:18" ht="17.149999999999999">
      <c r="B88" s="98" t="s">
        <v>116</v>
      </c>
      <c r="C88" s="34"/>
      <c r="D88" s="34"/>
      <c r="E88" s="34"/>
      <c r="F88" s="34"/>
      <c r="G88" s="34"/>
      <c r="H88" s="88" t="s">
        <v>117</v>
      </c>
      <c r="I88" s="46"/>
      <c r="K88" s="46"/>
      <c r="L88" s="47"/>
      <c r="M88" s="34"/>
      <c r="N88" s="34"/>
      <c r="O88" s="34"/>
      <c r="P88" s="34"/>
      <c r="Q88" s="97"/>
      <c r="R88" s="77"/>
    </row>
    <row r="89" spans="2:18">
      <c r="B89" s="34" t="s">
        <v>118</v>
      </c>
      <c r="C89" s="34"/>
      <c r="D89" s="34"/>
      <c r="E89" s="34"/>
      <c r="F89" s="34"/>
      <c r="G89" s="34"/>
      <c r="H89" s="89"/>
      <c r="I89" s="64">
        <f>H89*$D$60</f>
        <v>0</v>
      </c>
      <c r="K89" s="34"/>
      <c r="M89" s="34"/>
      <c r="N89" s="34"/>
      <c r="O89" s="34"/>
      <c r="P89" s="34"/>
      <c r="Q89" s="97"/>
      <c r="R89" s="77"/>
    </row>
    <row r="90" spans="2:18">
      <c r="B90" s="34" t="s">
        <v>119</v>
      </c>
      <c r="C90" s="34"/>
      <c r="D90" s="34"/>
      <c r="E90" s="34"/>
      <c r="F90" s="34"/>
      <c r="G90" s="34"/>
      <c r="H90" s="89"/>
      <c r="I90" s="64">
        <f>H90*$D$60</f>
        <v>0</v>
      </c>
      <c r="K90" s="34"/>
      <c r="M90" s="34"/>
      <c r="N90" s="34"/>
      <c r="O90" s="34"/>
      <c r="P90" s="34"/>
      <c r="Q90" s="97"/>
      <c r="R90" s="77"/>
    </row>
    <row r="91" spans="2:18">
      <c r="B91" s="34" t="s">
        <v>120</v>
      </c>
      <c r="C91" s="34"/>
      <c r="D91" s="34"/>
      <c r="E91" s="34"/>
      <c r="F91" s="34"/>
      <c r="G91" s="34"/>
      <c r="H91" s="89"/>
      <c r="I91" s="64">
        <f>H91*$D$60</f>
        <v>0</v>
      </c>
      <c r="K91" s="34"/>
      <c r="M91" s="34"/>
      <c r="N91" s="34"/>
      <c r="O91" s="34"/>
      <c r="P91" s="34"/>
      <c r="Q91" s="97"/>
      <c r="R91" s="77"/>
    </row>
    <row r="92" spans="2:18">
      <c r="B92" s="34" t="s">
        <v>121</v>
      </c>
      <c r="C92" s="34"/>
      <c r="D92" s="34"/>
      <c r="E92" s="34"/>
      <c r="F92" s="34"/>
      <c r="G92" s="34"/>
      <c r="H92" s="89"/>
      <c r="I92" s="64">
        <f>H92*$D$60</f>
        <v>0</v>
      </c>
      <c r="K92" s="34"/>
      <c r="M92" s="34"/>
      <c r="N92" s="34"/>
      <c r="O92" s="34"/>
      <c r="P92" s="34"/>
      <c r="Q92" s="97"/>
      <c r="R92" s="77"/>
    </row>
    <row r="93" spans="2:18" ht="17.149999999999999">
      <c r="B93" s="34" t="s">
        <v>122</v>
      </c>
      <c r="C93" s="34"/>
      <c r="D93" s="34"/>
      <c r="E93" s="34"/>
      <c r="F93" s="34"/>
      <c r="G93" s="34"/>
      <c r="H93" s="89"/>
      <c r="I93" s="82">
        <f>H93*$D$60</f>
        <v>0</v>
      </c>
      <c r="K93" s="80"/>
      <c r="M93" s="34"/>
      <c r="N93" s="34"/>
      <c r="O93" s="34"/>
      <c r="P93" s="34"/>
      <c r="Q93" s="97"/>
      <c r="R93" s="77"/>
    </row>
    <row r="94" spans="2:18">
      <c r="B94" s="34" t="s">
        <v>123</v>
      </c>
      <c r="C94" s="34"/>
      <c r="D94" s="34"/>
      <c r="E94" s="34"/>
      <c r="F94" s="34"/>
      <c r="G94" s="34"/>
      <c r="H94" s="64" t="str">
        <f>IF(D60=0, "", I94/D60)</f>
        <v/>
      </c>
      <c r="I94" s="64">
        <f>SUM(I91:I93)</f>
        <v>0</v>
      </c>
      <c r="K94" s="34"/>
      <c r="M94" s="34"/>
      <c r="N94" s="34"/>
      <c r="O94" s="34"/>
      <c r="P94" s="34"/>
      <c r="Q94" s="97"/>
      <c r="R94" s="77"/>
    </row>
    <row r="95" spans="2:18">
      <c r="B95" s="34" t="s">
        <v>124</v>
      </c>
      <c r="C95" s="34"/>
      <c r="D95" s="34"/>
      <c r="E95" s="34"/>
      <c r="F95" s="34"/>
      <c r="G95" s="34"/>
      <c r="H95" s="89"/>
      <c r="I95" s="64">
        <f>H95*$D$60</f>
        <v>0</v>
      </c>
      <c r="K95" s="34"/>
      <c r="M95" s="34"/>
      <c r="N95" s="34"/>
      <c r="O95" s="34"/>
      <c r="P95" s="34"/>
      <c r="Q95" s="97"/>
      <c r="R95" s="77"/>
    </row>
    <row r="96" spans="2:18">
      <c r="B96" s="34" t="s">
        <v>125</v>
      </c>
      <c r="C96" s="34"/>
      <c r="D96" s="34"/>
      <c r="E96" s="34"/>
      <c r="F96" s="34"/>
      <c r="G96" s="34"/>
      <c r="H96" s="89"/>
      <c r="I96" s="64">
        <f>H96*$D$60</f>
        <v>0</v>
      </c>
      <c r="K96" s="34"/>
      <c r="M96" s="34"/>
      <c r="N96" s="34"/>
      <c r="O96" s="34"/>
      <c r="P96" s="34"/>
      <c r="Q96" s="97"/>
      <c r="R96" s="77"/>
    </row>
    <row r="97" spans="2:18">
      <c r="B97" s="89" t="s">
        <v>24</v>
      </c>
      <c r="C97" s="38"/>
      <c r="D97" s="38"/>
      <c r="E97" s="34"/>
      <c r="F97" s="34"/>
      <c r="G97" s="34"/>
      <c r="H97" s="89"/>
      <c r="I97" s="64">
        <f>H97*$D$60</f>
        <v>0</v>
      </c>
      <c r="K97" s="34"/>
      <c r="M97" s="34"/>
      <c r="N97" s="34"/>
      <c r="O97" s="34"/>
      <c r="P97" s="34"/>
      <c r="Q97" s="97"/>
      <c r="R97" s="77"/>
    </row>
    <row r="98" spans="2:18">
      <c r="B98" s="89" t="s">
        <v>24</v>
      </c>
      <c r="C98" s="38"/>
      <c r="D98" s="38"/>
      <c r="E98" s="34"/>
      <c r="F98" s="34"/>
      <c r="G98" s="34"/>
      <c r="H98" s="89"/>
      <c r="I98" s="64">
        <f>H98*$D$60</f>
        <v>0</v>
      </c>
      <c r="K98" s="34"/>
      <c r="M98" s="34"/>
      <c r="N98" s="34"/>
      <c r="O98" s="34"/>
      <c r="P98" s="34"/>
      <c r="Q98" s="97"/>
      <c r="R98" s="77"/>
    </row>
    <row r="99" spans="2:18">
      <c r="B99" s="89" t="s">
        <v>24</v>
      </c>
      <c r="C99" s="38"/>
      <c r="D99" s="38"/>
      <c r="E99" s="34"/>
      <c r="F99" s="34"/>
      <c r="G99" s="34"/>
      <c r="H99" s="89"/>
      <c r="I99" s="64">
        <f>H99*$D$60</f>
        <v>0</v>
      </c>
      <c r="K99" s="34"/>
      <c r="M99" s="34"/>
      <c r="N99" s="34"/>
      <c r="O99" s="34"/>
      <c r="P99" s="34"/>
      <c r="Q99" s="97"/>
      <c r="R99" s="77"/>
    </row>
    <row r="100" spans="2:18">
      <c r="B100" s="34" t="s">
        <v>126</v>
      </c>
      <c r="C100" s="34"/>
      <c r="D100" s="34"/>
      <c r="E100" s="423"/>
      <c r="F100" s="423"/>
      <c r="G100" s="423"/>
      <c r="H100" s="93"/>
      <c r="I100" s="64">
        <f>H100*I85</f>
        <v>0</v>
      </c>
      <c r="K100" s="34"/>
      <c r="M100" s="34"/>
      <c r="N100" s="34"/>
      <c r="O100" s="34"/>
      <c r="P100" s="34"/>
      <c r="Q100" s="97"/>
      <c r="R100" s="77"/>
    </row>
    <row r="101" spans="2:18" ht="17.149999999999999">
      <c r="B101" s="34" t="s">
        <v>127</v>
      </c>
      <c r="C101" s="34"/>
      <c r="D101" s="34"/>
      <c r="E101" s="423"/>
      <c r="F101" s="423"/>
      <c r="G101" s="423"/>
      <c r="H101" s="93"/>
      <c r="I101" s="82">
        <f>H101*I85</f>
        <v>0</v>
      </c>
      <c r="K101" s="80"/>
      <c r="M101" s="34"/>
      <c r="N101" s="34"/>
      <c r="O101" s="34"/>
      <c r="P101" s="34"/>
      <c r="Q101" s="97"/>
      <c r="R101" s="77"/>
    </row>
    <row r="102" spans="2:18">
      <c r="B102" s="34" t="s">
        <v>128</v>
      </c>
      <c r="C102" s="34"/>
      <c r="D102" s="34"/>
      <c r="E102" s="34"/>
      <c r="F102" s="34"/>
      <c r="G102" s="34"/>
      <c r="H102" s="34"/>
      <c r="I102" s="64">
        <f>SUM(I89:I93,I95:I101)</f>
        <v>0</v>
      </c>
      <c r="K102" s="34"/>
      <c r="M102" s="34"/>
      <c r="N102" s="34"/>
      <c r="O102" s="34"/>
      <c r="P102" s="34"/>
      <c r="Q102" s="97"/>
      <c r="R102" s="77"/>
    </row>
    <row r="103" spans="2:18">
      <c r="B103" s="34"/>
      <c r="C103" s="34"/>
      <c r="D103" s="34"/>
      <c r="E103" s="34"/>
      <c r="F103" s="34"/>
      <c r="G103" s="34"/>
      <c r="H103" s="34"/>
      <c r="I103" s="34"/>
      <c r="K103" s="34"/>
      <c r="M103" s="34"/>
      <c r="N103" s="34"/>
      <c r="O103" s="34"/>
      <c r="P103" s="34"/>
      <c r="Q103" s="97"/>
      <c r="R103" s="77"/>
    </row>
    <row r="104" spans="2:18">
      <c r="B104" s="79" t="s">
        <v>129</v>
      </c>
      <c r="C104" s="79"/>
      <c r="D104" s="79"/>
      <c r="E104" s="79"/>
      <c r="F104" s="34"/>
      <c r="G104" s="34"/>
      <c r="H104" s="79"/>
      <c r="I104" s="94">
        <f>I85-I102</f>
        <v>0</v>
      </c>
      <c r="K104" s="79"/>
      <c r="L104" s="95"/>
      <c r="M104" s="34"/>
      <c r="N104" s="34"/>
      <c r="O104" s="34"/>
      <c r="P104" s="34"/>
      <c r="Q104" s="97"/>
      <c r="R104" s="77"/>
    </row>
    <row r="105" spans="2:18">
      <c r="B105" s="79"/>
      <c r="C105" s="79"/>
      <c r="D105" s="79"/>
      <c r="E105" s="79"/>
      <c r="F105" s="79"/>
      <c r="G105" s="79"/>
      <c r="H105" s="79"/>
      <c r="I105" s="79"/>
      <c r="K105" s="79"/>
      <c r="L105" s="79"/>
      <c r="M105" s="34"/>
      <c r="N105" s="34"/>
      <c r="O105" s="34"/>
      <c r="P105" s="34"/>
      <c r="Q105" s="97"/>
      <c r="R105" s="77"/>
    </row>
    <row r="106" spans="2:18">
      <c r="B106" s="84"/>
      <c r="C106" s="79"/>
      <c r="D106" s="79"/>
      <c r="E106" s="79"/>
      <c r="F106" s="79"/>
      <c r="G106"/>
      <c r="H106"/>
      <c r="K106" s="96"/>
      <c r="M106" s="34"/>
      <c r="N106" s="34"/>
      <c r="O106" s="34"/>
      <c r="P106" s="34"/>
      <c r="Q106" s="97"/>
      <c r="R106" s="77"/>
    </row>
    <row r="107" spans="2:18">
      <c r="B107" s="34"/>
      <c r="C107" s="34"/>
      <c r="D107" s="87"/>
      <c r="E107" s="34"/>
      <c r="F107" s="34"/>
      <c r="G107" s="34"/>
      <c r="H107" s="45"/>
      <c r="I107" s="45"/>
      <c r="K107" s="47"/>
      <c r="L107" s="38"/>
      <c r="M107" s="46"/>
      <c r="N107" s="46"/>
      <c r="O107" s="47"/>
      <c r="P107" s="47"/>
      <c r="Q107" s="97"/>
      <c r="R107" s="77"/>
    </row>
    <row r="108" spans="2:18">
      <c r="B108" s="98" t="s">
        <v>130</v>
      </c>
      <c r="C108" s="98"/>
      <c r="D108" s="98"/>
      <c r="E108" s="98"/>
      <c r="F108" s="34"/>
      <c r="G108" s="34"/>
      <c r="H108" s="46"/>
      <c r="I108" s="45"/>
      <c r="K108" s="46"/>
      <c r="L108" s="47"/>
      <c r="M108" s="46"/>
      <c r="N108" s="46"/>
      <c r="O108" s="47"/>
      <c r="P108" s="47"/>
      <c r="Q108" s="97"/>
      <c r="R108" s="77"/>
    </row>
    <row r="109" spans="2:18">
      <c r="B109" s="34" t="s">
        <v>131</v>
      </c>
      <c r="C109" s="34"/>
      <c r="D109" s="34"/>
      <c r="E109" s="34"/>
      <c r="F109" s="34"/>
      <c r="G109" s="34"/>
      <c r="H109" s="38"/>
      <c r="I109" s="64">
        <f>G28-G35</f>
        <v>0</v>
      </c>
      <c r="K109" s="34"/>
      <c r="L109" s="34"/>
      <c r="M109" s="34"/>
      <c r="N109" s="34"/>
      <c r="O109" s="34"/>
      <c r="P109" s="34"/>
      <c r="Q109" s="97"/>
      <c r="R109" s="77"/>
    </row>
    <row r="110" spans="2:18">
      <c r="B110" s="174" t="s">
        <v>132</v>
      </c>
      <c r="C110" s="34"/>
      <c r="D110" s="427" t="s">
        <v>133</v>
      </c>
      <c r="E110" s="427"/>
      <c r="F110" s="427"/>
      <c r="G110" s="427"/>
      <c r="H110" s="427"/>
      <c r="I110" s="93"/>
      <c r="K110" s="49"/>
      <c r="L110" s="49"/>
      <c r="M110" s="115"/>
      <c r="N110" s="49"/>
      <c r="O110" s="49"/>
      <c r="P110" s="49"/>
      <c r="Q110" s="97"/>
      <c r="R110" s="77"/>
    </row>
    <row r="111" spans="2:18">
      <c r="B111" s="34" t="s">
        <v>134</v>
      </c>
      <c r="C111" s="34"/>
      <c r="D111" s="34"/>
      <c r="E111" s="423" t="str">
        <f>Scoring!H133</f>
        <v>Max 45 years</v>
      </c>
      <c r="F111" s="423"/>
      <c r="G111" s="423"/>
      <c r="H111" s="423"/>
      <c r="I111" s="89"/>
      <c r="K111" s="34"/>
      <c r="L111" s="50"/>
      <c r="M111" s="34"/>
      <c r="N111" s="34"/>
      <c r="O111" s="34"/>
      <c r="P111" s="34"/>
      <c r="Q111" s="97"/>
      <c r="R111" s="77"/>
    </row>
    <row r="112" spans="2:18">
      <c r="B112" s="34" t="s">
        <v>135</v>
      </c>
      <c r="C112" s="34"/>
      <c r="D112" s="34"/>
      <c r="E112" s="174"/>
      <c r="F112" s="174"/>
      <c r="G112" s="174"/>
      <c r="H112" s="177"/>
      <c r="I112" s="64">
        <f>IF(I109=0, 0, -PMT((((I110/2)+1)^(1/6))-1, I111*12, I109, 0, 0))</f>
        <v>0</v>
      </c>
      <c r="K112" s="34"/>
      <c r="L112" s="114"/>
      <c r="M112" s="34"/>
      <c r="N112" s="34"/>
      <c r="O112" s="34"/>
      <c r="P112" s="34"/>
      <c r="Q112" s="97"/>
      <c r="R112" s="77"/>
    </row>
    <row r="113" spans="2:18">
      <c r="B113" s="34" t="s">
        <v>136</v>
      </c>
      <c r="C113" s="34"/>
      <c r="D113" s="34"/>
      <c r="E113" s="174"/>
      <c r="F113" s="174"/>
      <c r="G113" s="174"/>
      <c r="H113" s="177"/>
      <c r="I113" s="64">
        <f>I112*12</f>
        <v>0</v>
      </c>
      <c r="K113" s="34"/>
      <c r="L113" s="34"/>
      <c r="M113" s="34"/>
      <c r="N113" s="34"/>
      <c r="O113" s="34"/>
      <c r="P113" s="34"/>
      <c r="Q113" s="97"/>
      <c r="R113" s="77"/>
    </row>
    <row r="114" spans="2:18" ht="15.9">
      <c r="B114" s="127" t="s">
        <v>137</v>
      </c>
      <c r="C114" s="284"/>
      <c r="D114" s="284"/>
      <c r="E114" s="425" t="s">
        <v>138</v>
      </c>
      <c r="F114" s="425"/>
      <c r="G114" s="425"/>
      <c r="H114" s="343">
        <f>IF(D17="Yes",1.2,IF(D17="No",1.1,1.1))</f>
        <v>1.1000000000000001</v>
      </c>
      <c r="I114" s="285">
        <f>IF(I113=0, 0, ROUND(I104/I113,2))</f>
        <v>0</v>
      </c>
      <c r="K114" s="416"/>
      <c r="L114" s="416"/>
      <c r="M114" s="37"/>
      <c r="N114" s="37"/>
      <c r="O114" s="37"/>
      <c r="P114" s="37"/>
      <c r="Q114" s="97"/>
      <c r="R114" s="77"/>
    </row>
    <row r="115" spans="2:18">
      <c r="B115" s="286" t="s">
        <v>139</v>
      </c>
      <c r="C115" s="287"/>
      <c r="D115" s="287"/>
      <c r="E115" s="287"/>
      <c r="F115" s="288"/>
      <c r="G115" s="288"/>
      <c r="H115" s="289"/>
      <c r="I115" s="290" t="str">
        <f>IF(I114=1.1,"Yes",IF(I114&gt;1.1,"Yes","No"))</f>
        <v>No</v>
      </c>
      <c r="K115" s="50"/>
      <c r="L115" s="50"/>
      <c r="M115" s="50"/>
      <c r="N115" s="50"/>
      <c r="O115" s="50"/>
      <c r="P115" s="50"/>
      <c r="Q115" s="97"/>
      <c r="R115" s="77"/>
    </row>
    <row r="116" spans="2:18" s="41" customFormat="1" ht="5.25" customHeight="1">
      <c r="B116" s="38"/>
      <c r="C116" s="38"/>
      <c r="D116" s="38"/>
      <c r="E116" s="38"/>
      <c r="F116" s="38"/>
      <c r="G116" s="38"/>
      <c r="H116" s="37"/>
      <c r="I116" s="40"/>
      <c r="J116"/>
      <c r="K116" s="37"/>
      <c r="L116" s="37"/>
      <c r="M116" s="37"/>
      <c r="N116" s="37"/>
      <c r="O116" s="37"/>
      <c r="P116" s="37"/>
      <c r="Q116" s="97"/>
      <c r="R116" s="77"/>
    </row>
    <row r="117" spans="2:18">
      <c r="B117" s="34" t="s">
        <v>131</v>
      </c>
      <c r="C117" s="34"/>
      <c r="D117" s="34"/>
      <c r="E117" s="34"/>
      <c r="F117" s="34"/>
      <c r="G117" s="38"/>
      <c r="H117" s="37"/>
      <c r="I117" s="48">
        <f>G28-G35</f>
        <v>0</v>
      </c>
      <c r="K117" s="50"/>
      <c r="L117" s="50"/>
      <c r="M117" s="50"/>
      <c r="N117" s="50"/>
      <c r="O117" s="50"/>
      <c r="P117" s="50"/>
      <c r="Q117" s="97"/>
      <c r="R117" s="77"/>
    </row>
    <row r="118" spans="2:18">
      <c r="B118" s="34" t="s">
        <v>140</v>
      </c>
      <c r="C118" s="34"/>
      <c r="D118" s="34"/>
      <c r="E118" s="34"/>
      <c r="F118" s="34"/>
      <c r="G118" s="34"/>
      <c r="H118" s="87"/>
      <c r="I118" s="48">
        <f>G28</f>
        <v>0</v>
      </c>
      <c r="K118" s="87"/>
      <c r="L118" s="87"/>
      <c r="M118" s="34"/>
      <c r="N118" s="34"/>
      <c r="O118" s="34"/>
      <c r="P118" s="34"/>
      <c r="Q118" s="97"/>
      <c r="R118" s="77"/>
    </row>
    <row r="119" spans="2:18">
      <c r="B119" s="127" t="s">
        <v>141</v>
      </c>
      <c r="C119" s="284"/>
      <c r="D119" s="284"/>
      <c r="E119" s="291"/>
      <c r="F119" s="291"/>
      <c r="G119" s="291"/>
      <c r="H119" s="292"/>
      <c r="I119" s="325">
        <f>IF(I118=0, 0, I109/I118)</f>
        <v>0</v>
      </c>
      <c r="K119" s="87"/>
      <c r="L119" s="87"/>
      <c r="M119" s="92"/>
      <c r="N119" s="34"/>
      <c r="O119" s="34"/>
      <c r="P119" s="34"/>
      <c r="Q119" s="97"/>
      <c r="R119" s="77"/>
    </row>
    <row r="120" spans="2:18">
      <c r="B120" s="293" t="s">
        <v>142</v>
      </c>
      <c r="C120" s="38"/>
      <c r="D120" s="38"/>
      <c r="E120" s="38"/>
      <c r="F120" s="34"/>
      <c r="G120" s="39"/>
      <c r="H120" s="40"/>
      <c r="I120" s="294">
        <f>IF(Scoring!H131="Tier 1",1,IF(Scoring!H131="Tier 2", 0.95,IF(Scoring!H131="Tier 3",0.9,"")))</f>
        <v>0.9</v>
      </c>
      <c r="K120" s="34"/>
      <c r="M120" s="34"/>
      <c r="N120" s="34"/>
      <c r="O120" s="34"/>
      <c r="P120" s="34"/>
      <c r="Q120" s="97"/>
      <c r="R120" s="77"/>
    </row>
    <row r="121" spans="2:18">
      <c r="B121" s="286" t="s">
        <v>143</v>
      </c>
      <c r="C121" s="287"/>
      <c r="D121" s="287"/>
      <c r="E121" s="287"/>
      <c r="F121" s="288"/>
      <c r="G121" s="295"/>
      <c r="H121" s="295"/>
      <c r="I121" s="296" t="str">
        <f>IF(I120=I119,"Yes", IF(I119&lt;I120,"Yes","No"))</f>
        <v>Yes</v>
      </c>
      <c r="K121" s="34"/>
      <c r="M121" s="34"/>
      <c r="N121" s="34"/>
      <c r="O121" s="34"/>
      <c r="P121" s="34"/>
      <c r="Q121" s="97"/>
      <c r="R121" s="77"/>
    </row>
    <row r="122" spans="2:18" s="41" customFormat="1">
      <c r="B122" s="38"/>
      <c r="C122" s="38"/>
      <c r="D122" s="38"/>
      <c r="E122" s="38"/>
      <c r="F122" s="38"/>
      <c r="G122" s="39"/>
      <c r="H122" s="39"/>
      <c r="I122" s="182"/>
      <c r="J122"/>
      <c r="K122" s="38"/>
      <c r="L122"/>
      <c r="M122" s="38"/>
      <c r="N122" s="38"/>
      <c r="O122" s="38"/>
      <c r="P122" s="38"/>
      <c r="Q122" s="97"/>
      <c r="R122" s="77"/>
    </row>
    <row r="123" spans="2:18">
      <c r="B123" s="98" t="s">
        <v>144</v>
      </c>
      <c r="C123" s="98"/>
      <c r="D123" s="98"/>
      <c r="E123" s="98"/>
      <c r="F123" s="34"/>
      <c r="G123" s="34"/>
      <c r="H123" s="46"/>
      <c r="I123" s="45"/>
      <c r="K123" s="46"/>
      <c r="L123" s="47"/>
      <c r="M123" s="46"/>
      <c r="N123" s="46"/>
      <c r="O123" s="47"/>
      <c r="P123" s="47"/>
      <c r="Q123" s="97"/>
      <c r="R123" s="77"/>
    </row>
    <row r="124" spans="2:18">
      <c r="B124" s="177" t="s">
        <v>145</v>
      </c>
      <c r="C124" s="38"/>
      <c r="D124" s="38"/>
      <c r="E124" s="38"/>
      <c r="F124" s="34"/>
      <c r="G124" s="34"/>
      <c r="H124" s="34"/>
      <c r="I124" s="136">
        <f>IF(((1-I120)-(1-I119))&lt;0,0,((1-I120)-(1-I119))*G28)</f>
        <v>0</v>
      </c>
      <c r="K124"/>
      <c r="M124" s="34"/>
      <c r="N124" s="34"/>
      <c r="O124" s="34"/>
      <c r="P124" s="34"/>
      <c r="Q124" s="97"/>
      <c r="R124" s="77"/>
    </row>
    <row r="125" spans="2:18">
      <c r="B125" s="177" t="s">
        <v>146</v>
      </c>
      <c r="C125" s="38"/>
      <c r="D125" s="38"/>
      <c r="E125" s="38"/>
      <c r="F125" s="165"/>
      <c r="G125" s="34"/>
      <c r="H125" s="34"/>
      <c r="I125" s="136">
        <f>IF(D17="No",IF(I109&gt;C148,I109-C148,0),IF(D17="Yes",IF(I109&gt;C152,I109-C152,0),IF(I109&gt;C148,I109-C148,0)))</f>
        <v>0</v>
      </c>
      <c r="K125" s="34"/>
      <c r="M125" s="34"/>
      <c r="N125" s="34"/>
      <c r="O125" s="34"/>
      <c r="P125" s="34"/>
      <c r="Q125" s="97"/>
      <c r="R125" s="77"/>
    </row>
    <row r="126" spans="2:18">
      <c r="B126" s="174" t="s">
        <v>147</v>
      </c>
      <c r="C126" s="34"/>
      <c r="D126" s="34"/>
      <c r="E126" s="34"/>
      <c r="F126" s="34"/>
      <c r="G126" s="34"/>
      <c r="H126" s="34"/>
      <c r="I126" s="137">
        <f>IF(I124&gt;I125,I124,I125)</f>
        <v>0</v>
      </c>
      <c r="K126" s="420" t="s">
        <v>148</v>
      </c>
      <c r="L126" s="420"/>
      <c r="M126" s="420"/>
      <c r="N126" s="34"/>
      <c r="O126" s="34"/>
      <c r="P126" s="34"/>
      <c r="Q126" s="97"/>
      <c r="R126" s="77"/>
    </row>
    <row r="127" spans="2:18">
      <c r="B127" s="200" t="s">
        <v>149</v>
      </c>
      <c r="C127" s="34"/>
      <c r="D127" s="34"/>
      <c r="E127" s="34"/>
      <c r="F127" s="34"/>
      <c r="G127" s="50"/>
      <c r="H127" s="34"/>
      <c r="I127" s="89"/>
      <c r="K127" s="34"/>
      <c r="L127" s="67"/>
      <c r="M127" s="34"/>
      <c r="N127" s="34"/>
      <c r="O127" s="34"/>
      <c r="P127" s="34"/>
      <c r="Q127" s="97"/>
      <c r="R127" s="77"/>
    </row>
    <row r="128" spans="2:18">
      <c r="B128" s="34"/>
      <c r="C128" s="34"/>
      <c r="D128" s="34"/>
      <c r="E128" s="34"/>
      <c r="F128" s="34"/>
      <c r="G128" s="34"/>
      <c r="H128" s="34"/>
      <c r="I128" s="34"/>
      <c r="K128" s="34"/>
      <c r="L128" s="34"/>
      <c r="M128" s="34"/>
      <c r="N128" s="34"/>
      <c r="O128" s="34"/>
      <c r="P128" s="34"/>
      <c r="Q128" s="97"/>
      <c r="R128" s="77"/>
    </row>
    <row r="129" spans="1:18">
      <c r="B129" s="34"/>
      <c r="C129" s="34"/>
      <c r="D129" s="34"/>
      <c r="E129" s="34"/>
      <c r="F129" s="34"/>
      <c r="G129" s="34"/>
      <c r="H129" s="34"/>
      <c r="K129" s="34"/>
      <c r="M129" s="34"/>
      <c r="N129" s="34"/>
      <c r="O129" s="34"/>
      <c r="P129" s="34"/>
      <c r="Q129" s="97"/>
      <c r="R129" s="77"/>
    </row>
    <row r="130" spans="1:18">
      <c r="B130" s="34"/>
      <c r="C130" s="34"/>
      <c r="D130" s="34"/>
      <c r="E130" s="34"/>
      <c r="F130" s="34"/>
      <c r="G130" s="34"/>
      <c r="H130" s="34"/>
      <c r="I130" s="146"/>
      <c r="J130" s="146"/>
      <c r="K130" s="34"/>
      <c r="M130" s="34"/>
      <c r="N130" s="34"/>
      <c r="O130" s="34"/>
      <c r="P130" s="34"/>
      <c r="Q130" s="97"/>
      <c r="R130" s="77"/>
    </row>
    <row r="131" spans="1:18">
      <c r="B131" s="79"/>
      <c r="C131" s="34"/>
      <c r="D131" s="34"/>
      <c r="E131" s="34"/>
      <c r="F131" s="34"/>
      <c r="G131" s="34"/>
      <c r="H131" s="34"/>
      <c r="I131" s="167"/>
      <c r="J131" s="167"/>
      <c r="K131" s="34"/>
      <c r="L131" s="67"/>
      <c r="M131" s="38"/>
      <c r="N131" s="34"/>
      <c r="O131" s="34"/>
      <c r="P131" s="34"/>
      <c r="Q131" s="97"/>
      <c r="R131" s="77"/>
    </row>
    <row r="132" spans="1:18">
      <c r="B132" s="84"/>
      <c r="C132" s="34"/>
      <c r="D132" s="34"/>
      <c r="E132" s="34"/>
      <c r="F132" s="34"/>
      <c r="G132" s="34"/>
      <c r="H132" s="34"/>
      <c r="K132" s="34"/>
      <c r="M132" s="34"/>
      <c r="N132" s="34"/>
      <c r="O132" s="34"/>
      <c r="P132" s="34"/>
      <c r="Q132" s="97"/>
      <c r="R132" s="77"/>
    </row>
    <row r="133" spans="1:18" ht="6" customHeight="1">
      <c r="B133" s="34"/>
      <c r="C133" s="34"/>
      <c r="D133" s="34"/>
      <c r="E133" s="34"/>
      <c r="F133" s="34"/>
      <c r="G133" s="34"/>
      <c r="H133" s="34"/>
      <c r="K133" s="34"/>
      <c r="M133" s="34"/>
      <c r="N133" s="34"/>
      <c r="O133" s="34"/>
      <c r="P133" s="34"/>
      <c r="Q133" s="97"/>
      <c r="R133" s="77"/>
    </row>
    <row r="134" spans="1:18" ht="6.75" customHeight="1">
      <c r="A134" s="101"/>
      <c r="B134" s="65"/>
      <c r="C134" s="65"/>
      <c r="D134" s="65"/>
      <c r="E134" s="65"/>
      <c r="F134" s="65"/>
      <c r="G134" s="65"/>
      <c r="H134" s="65"/>
      <c r="I134" s="65"/>
      <c r="J134" s="65"/>
      <c r="K134" s="65"/>
      <c r="L134" s="65"/>
      <c r="M134" s="65"/>
      <c r="N134" s="65"/>
      <c r="O134" s="65"/>
      <c r="P134" s="65"/>
      <c r="Q134" s="97"/>
      <c r="R134" s="77"/>
    </row>
    <row r="135" spans="1:18" s="41" customFormat="1">
      <c r="B135" s="77"/>
      <c r="C135" s="77"/>
      <c r="D135" s="77"/>
      <c r="E135" s="77"/>
      <c r="F135" s="77"/>
      <c r="G135" s="77"/>
      <c r="H135" s="77"/>
      <c r="I135" s="77"/>
      <c r="J135" s="77"/>
      <c r="K135" s="77"/>
      <c r="L135" s="77"/>
      <c r="M135" s="77"/>
      <c r="N135" s="77"/>
      <c r="O135" s="77"/>
      <c r="P135" s="77"/>
      <c r="Q135" s="77"/>
      <c r="R135" s="77"/>
    </row>
    <row r="136" spans="1:18">
      <c r="A136"/>
      <c r="B136"/>
      <c r="C136"/>
      <c r="D136" s="41"/>
    </row>
    <row r="137" spans="1:18">
      <c r="A137"/>
      <c r="B137"/>
      <c r="C137"/>
      <c r="D137" s="41"/>
    </row>
    <row r="138" spans="1:18">
      <c r="A138" s="41"/>
      <c r="B138" s="41"/>
      <c r="C138" s="41"/>
      <c r="D138" s="41"/>
    </row>
    <row r="139" spans="1:18">
      <c r="A139" s="41"/>
      <c r="B139" s="41"/>
      <c r="C139" s="41"/>
      <c r="D139" s="41"/>
    </row>
    <row r="140" spans="1:18">
      <c r="A140" s="41"/>
      <c r="B140" s="41"/>
      <c r="C140" s="41"/>
      <c r="D140" s="41"/>
    </row>
    <row r="141" spans="1:18">
      <c r="A141" s="41"/>
      <c r="B141" s="41"/>
      <c r="C141" s="41"/>
      <c r="D141" s="41"/>
    </row>
    <row r="142" spans="1:18" ht="12" customHeight="1"/>
    <row r="143" spans="1:18" hidden="1"/>
    <row r="144" spans="1:18" hidden="1">
      <c r="A144" s="407" t="s">
        <v>150</v>
      </c>
      <c r="B144" s="407"/>
      <c r="C144" s="407"/>
      <c r="D144" s="407"/>
      <c r="E144" s="407"/>
    </row>
    <row r="145" spans="1:18" hidden="1">
      <c r="A145" s="201"/>
      <c r="B145" s="201" t="s">
        <v>151</v>
      </c>
      <c r="C145" s="202">
        <f>I104/(12*1.1)</f>
        <v>0</v>
      </c>
      <c r="D145" s="201"/>
      <c r="E145" s="201" t="s">
        <v>152</v>
      </c>
    </row>
    <row r="146" spans="1:18" hidden="1">
      <c r="A146" s="201"/>
      <c r="B146" s="201" t="s">
        <v>153</v>
      </c>
      <c r="C146" s="203">
        <f>(((I110/2)+1)^(1/6))-1</f>
        <v>0</v>
      </c>
      <c r="D146" s="201"/>
      <c r="E146" s="201" t="s">
        <v>38</v>
      </c>
    </row>
    <row r="147" spans="1:18" hidden="1">
      <c r="A147" s="201"/>
      <c r="B147" s="201" t="s">
        <v>154</v>
      </c>
      <c r="C147" s="204">
        <f>I111*12</f>
        <v>0</v>
      </c>
      <c r="D147" s="201"/>
      <c r="E147" s="201"/>
      <c r="I147" s="1"/>
      <c r="J147" s="1"/>
      <c r="L147" s="1"/>
      <c r="R147" s="1"/>
    </row>
    <row r="148" spans="1:18" hidden="1">
      <c r="A148" s="201"/>
      <c r="B148" s="201" t="s">
        <v>155</v>
      </c>
      <c r="C148" s="344">
        <f>IF(C146=0,0,C145*(((1+C146)^C147)-1)/(C146*((1+C146)^C147)))</f>
        <v>0</v>
      </c>
      <c r="D148" s="201"/>
      <c r="E148" s="201"/>
      <c r="I148" s="1"/>
      <c r="J148" s="1"/>
      <c r="L148" s="1"/>
      <c r="R148" s="1"/>
    </row>
    <row r="149" spans="1:18" hidden="1"/>
    <row r="150" spans="1:18" hidden="1">
      <c r="B150" s="407" t="s">
        <v>156</v>
      </c>
      <c r="C150" s="407"/>
      <c r="D150" s="407"/>
      <c r="E150" s="407"/>
      <c r="F150" s="407"/>
    </row>
    <row r="151" spans="1:18" hidden="1">
      <c r="B151" s="201" t="s">
        <v>151</v>
      </c>
      <c r="C151" s="1">
        <f>I104/(12*1.2)</f>
        <v>0</v>
      </c>
    </row>
    <row r="152" spans="1:18" hidden="1">
      <c r="B152" s="201" t="s">
        <v>155</v>
      </c>
      <c r="C152" s="345">
        <f>IF(C146=0,0,C151*(((1+C146)^C147)-1)/(C146*((1+C146)^C147)))</f>
        <v>0</v>
      </c>
    </row>
  </sheetData>
  <sheetProtection sheet="1" objects="1"/>
  <mergeCells count="20">
    <mergeCell ref="E9:I9"/>
    <mergeCell ref="A144:E144"/>
    <mergeCell ref="E111:H111"/>
    <mergeCell ref="E100:G100"/>
    <mergeCell ref="E101:G101"/>
    <mergeCell ref="G40:G42"/>
    <mergeCell ref="H40:H42"/>
    <mergeCell ref="I40:I42"/>
    <mergeCell ref="E114:G114"/>
    <mergeCell ref="E65:H65"/>
    <mergeCell ref="D110:H110"/>
    <mergeCell ref="B150:F150"/>
    <mergeCell ref="L30:O30"/>
    <mergeCell ref="M28:O28"/>
    <mergeCell ref="M29:O29"/>
    <mergeCell ref="L31:O31"/>
    <mergeCell ref="K114:L114"/>
    <mergeCell ref="K66:O66"/>
    <mergeCell ref="K62:O62"/>
    <mergeCell ref="K126:M126"/>
  </mergeCells>
  <conditionalFormatting sqref="L63:O65">
    <cfRule type="top10" dxfId="5" priority="2" rank="1"/>
  </conditionalFormatting>
  <conditionalFormatting sqref="L67:O69">
    <cfRule type="top10" dxfId="4" priority="1" rank="1"/>
  </conditionalFormatting>
  <dataValidations count="1">
    <dataValidation type="list" allowBlank="1" showInputMessage="1" showErrorMessage="1" sqref="D17" xr:uid="{F6E304F9-D9FD-4FE8-B120-1066E6AF86D2}">
      <formula1>$E$145:$E$146</formula1>
    </dataValidation>
  </dataValidations>
  <hyperlinks>
    <hyperlink ref="L31" r:id="rId1" display="http://www.statcan.gc.ca/tables-tableaux/sum-som/l01/cst01/famil107a-eng.htm" xr:uid="{00000000-0004-0000-0300-000000000000}"/>
    <hyperlink ref="L31:N31" r:id="rId2" display="https://www150.statcan.gc.ca/t1/tbl1/en/tv.action?pid=1110000901" xr:uid="{00000000-0004-0000-0300-000001000000}"/>
  </hyperlinks>
  <pageMargins left="0.31496062992125984" right="0.31496062992125984" top="0.51181102362204722" bottom="0.82677165354330717" header="0.31496062992125984" footer="0.31496062992125984"/>
  <pageSetup scale="52" fitToHeight="0" orientation="portrait" r:id="rId3"/>
  <headerFooter>
    <oddHeader>&amp;C&amp;"Calibri"&amp;10&amp;K000000 Unclassified-Non classifié&amp;1#_x000D_</oddHeader>
    <oddFooter>&amp;C_x000D_&amp;1#&amp;"Calibri"&amp;10&amp;K000000 Unclassified-Non classifié</oddFooter>
  </headerFooter>
  <rowBreaks count="1" manualBreakCount="1">
    <brk id="85" max="16383" man="1"/>
  </rowBreaks>
  <ignoredErrors>
    <ignoredError sqref="G44:G55 G56:G57 G58 H57 I94" formula="1"/>
    <ignoredError sqref="G20:G27" unlockedFormula="1"/>
  </ignoredError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Q109"/>
  <sheetViews>
    <sheetView showGridLines="0" zoomScale="90" zoomScaleNormal="90" workbookViewId="0">
      <pane ySplit="12" topLeftCell="A13" activePane="bottomLeft" state="frozen"/>
      <selection activeCell="B39" sqref="B39"/>
      <selection pane="bottomLeft" activeCell="C45" sqref="C45"/>
    </sheetView>
  </sheetViews>
  <sheetFormatPr defaultRowHeight="14.6"/>
  <cols>
    <col min="1" max="1" width="2.69140625" customWidth="1"/>
    <col min="2" max="2" width="35.23046875" customWidth="1"/>
    <col min="3" max="3" width="20.23046875" customWidth="1"/>
    <col min="5" max="5" width="11.4609375" customWidth="1"/>
    <col min="6" max="6" width="3.84375" customWidth="1"/>
    <col min="7" max="7" width="8.15234375" customWidth="1"/>
    <col min="8" max="8" width="17.53515625" customWidth="1"/>
    <col min="9" max="9" width="3.15234375" customWidth="1"/>
    <col min="10" max="13" width="13.4609375" customWidth="1"/>
    <col min="14" max="14" width="2.69140625" customWidth="1"/>
  </cols>
  <sheetData>
    <row r="1" spans="1:14">
      <c r="A1" s="111"/>
      <c r="B1" s="65" t="s">
        <v>3</v>
      </c>
      <c r="C1" s="65"/>
      <c r="D1" s="65"/>
      <c r="E1" s="66"/>
      <c r="F1" s="65"/>
      <c r="G1" s="65"/>
      <c r="H1" s="65"/>
      <c r="I1" s="65"/>
      <c r="J1" s="65"/>
      <c r="K1" s="65"/>
      <c r="L1" s="65"/>
      <c r="M1" s="65"/>
      <c r="N1" s="112"/>
    </row>
    <row r="2" spans="1:14" ht="6" customHeight="1">
      <c r="A2" s="110"/>
      <c r="B2" s="110"/>
      <c r="C2" s="110"/>
      <c r="D2" s="110"/>
      <c r="E2" s="110"/>
      <c r="F2" s="110"/>
      <c r="G2" s="110"/>
      <c r="H2" s="110"/>
      <c r="I2" s="113"/>
      <c r="J2" s="110"/>
      <c r="K2" s="110"/>
      <c r="L2" s="110"/>
      <c r="M2" s="110"/>
      <c r="N2" s="112"/>
    </row>
    <row r="3" spans="1:14">
      <c r="B3" t="s">
        <v>4</v>
      </c>
      <c r="C3" s="259">
        <f>IF(OR(('Residential New'!I113+'Non-Residential'!H79)=0, ISERR(('Residential New'!I113+'Non-Residential'!H79))), 0, ('Residential New'!I104+'Non-Residential'!H71)/('Residential New'!I113+'Non-Residential'!H79))</f>
        <v>0</v>
      </c>
      <c r="E3" t="s">
        <v>5</v>
      </c>
      <c r="H3" s="265">
        <f>IF('Project Budget'!E25=0, 0, ('Residential New'!I109+'Non-Residential'!H75)/'Project Budget'!E25)</f>
        <v>0</v>
      </c>
      <c r="N3" s="112"/>
    </row>
    <row r="4" spans="1:14">
      <c r="B4" s="72" t="s">
        <v>6</v>
      </c>
      <c r="C4" s="261">
        <f>'Residential New'!I114</f>
        <v>0</v>
      </c>
      <c r="E4" t="s">
        <v>7</v>
      </c>
      <c r="H4" s="266">
        <f>'Residential New'!I119</f>
        <v>0</v>
      </c>
      <c r="N4" s="112"/>
    </row>
    <row r="5" spans="1:14">
      <c r="B5" t="s">
        <v>8</v>
      </c>
      <c r="C5" s="259">
        <f>'Non-Residential'!H80</f>
        <v>0</v>
      </c>
      <c r="E5" t="s">
        <v>9</v>
      </c>
      <c r="H5" s="266">
        <f>'Non-Residential'!H85</f>
        <v>0</v>
      </c>
      <c r="N5" s="112"/>
    </row>
    <row r="6" spans="1:14">
      <c r="B6" s="257" t="s">
        <v>10</v>
      </c>
      <c r="C6" s="51" t="str">
        <f>'Residential New'!L37</f>
        <v>No</v>
      </c>
      <c r="E6" t="s">
        <v>34</v>
      </c>
      <c r="F6" s="72"/>
      <c r="G6" s="72"/>
      <c r="H6" s="264">
        <f>'Residential New'!I109+'Non-Residential'!H75</f>
        <v>0</v>
      </c>
      <c r="N6" s="112"/>
    </row>
    <row r="7" spans="1:14">
      <c r="B7" t="s">
        <v>12</v>
      </c>
      <c r="C7" s="321">
        <f>Scoring!H92</f>
        <v>0</v>
      </c>
      <c r="E7" t="s">
        <v>13</v>
      </c>
      <c r="F7" s="72"/>
      <c r="G7" s="72"/>
      <c r="H7" s="260">
        <f>'Residential New'!I126+'Non-Residential'!H91</f>
        <v>0</v>
      </c>
      <c r="N7" s="112"/>
    </row>
    <row r="8" spans="1:14" ht="3" customHeight="1">
      <c r="B8" s="110"/>
      <c r="C8" s="110"/>
      <c r="D8" s="110"/>
      <c r="E8" s="110"/>
      <c r="F8" s="110"/>
      <c r="G8" s="110"/>
      <c r="H8" s="110"/>
      <c r="N8" s="112"/>
    </row>
    <row r="9" spans="1:14" ht="15" customHeight="1">
      <c r="B9" s="262" t="s">
        <v>14</v>
      </c>
      <c r="C9" s="320">
        <f>Scoring!H130</f>
        <v>0</v>
      </c>
      <c r="D9" s="375"/>
      <c r="E9" s="405" t="str">
        <f>Scoring!C155</f>
        <v>Tier 3 - Up to 90% LTC, 45 yrs Am, 10 yr term</v>
      </c>
      <c r="F9" s="405"/>
      <c r="G9" s="405"/>
      <c r="H9" s="405"/>
      <c r="I9" s="405"/>
      <c r="J9" s="405"/>
      <c r="K9" s="405"/>
      <c r="L9" s="405"/>
      <c r="M9" s="405"/>
      <c r="N9" s="112"/>
    </row>
    <row r="10" spans="1:14" ht="3" customHeight="1">
      <c r="A10" s="110"/>
      <c r="B10" s="110"/>
      <c r="C10" s="110"/>
      <c r="D10" s="110"/>
      <c r="E10" s="110"/>
      <c r="F10" s="110"/>
      <c r="G10" s="110"/>
      <c r="H10" s="110"/>
      <c r="I10" s="113"/>
      <c r="J10" s="110"/>
      <c r="K10" s="110"/>
      <c r="L10" s="110"/>
      <c r="M10" s="110"/>
      <c r="N10" s="112"/>
    </row>
    <row r="11" spans="1:14" ht="3" customHeight="1">
      <c r="A11" s="112"/>
      <c r="B11" s="65"/>
      <c r="C11" s="65"/>
      <c r="D11" s="65"/>
      <c r="E11" s="65"/>
      <c r="F11" s="65"/>
      <c r="G11" s="65"/>
      <c r="H11" s="65"/>
      <c r="I11" s="65"/>
      <c r="J11" s="65"/>
      <c r="K11" s="65"/>
      <c r="L11" s="65"/>
      <c r="M11" s="65"/>
      <c r="N11" s="112"/>
    </row>
    <row r="12" spans="1:14" ht="15" customHeight="1"/>
    <row r="13" spans="1:14" ht="15.9">
      <c r="A13" s="100"/>
      <c r="B13" s="166" t="s">
        <v>157</v>
      </c>
      <c r="C13" s="65"/>
      <c r="D13" s="65"/>
      <c r="E13" s="65"/>
      <c r="F13" s="65"/>
      <c r="G13" s="65"/>
      <c r="H13" s="65"/>
      <c r="I13" s="65"/>
      <c r="J13" s="65"/>
      <c r="K13" s="65"/>
      <c r="L13" s="65"/>
      <c r="M13" s="65"/>
      <c r="N13" s="100"/>
    </row>
    <row r="14" spans="1:14">
      <c r="D14" s="1"/>
      <c r="E14" s="207" t="s">
        <v>42</v>
      </c>
      <c r="F14" s="297" t="s">
        <v>158</v>
      </c>
      <c r="G14" s="297"/>
      <c r="H14" s="217"/>
      <c r="I14" s="217"/>
      <c r="J14" s="217"/>
      <c r="K14" s="217"/>
      <c r="L14" s="217"/>
      <c r="M14" s="298"/>
      <c r="N14" s="100"/>
    </row>
    <row r="15" spans="1:14">
      <c r="B15" s="1" t="s">
        <v>159</v>
      </c>
      <c r="C15" s="30"/>
      <c r="D15" s="147">
        <v>0</v>
      </c>
      <c r="E15" s="52" t="str">
        <f>IF(D15&lt;=30%,"Yes","No")</f>
        <v>Yes</v>
      </c>
      <c r="F15" s="57" t="s">
        <v>160</v>
      </c>
      <c r="G15" s="57"/>
      <c r="H15" s="57"/>
      <c r="I15" s="57"/>
      <c r="J15" s="57"/>
      <c r="K15" s="57"/>
      <c r="L15" s="57"/>
      <c r="M15" s="250"/>
      <c r="N15" s="100"/>
    </row>
    <row r="16" spans="1:14">
      <c r="B16" s="1"/>
      <c r="C16" s="30"/>
      <c r="D16" s="310"/>
      <c r="E16" s="51"/>
      <c r="F16" s="67"/>
      <c r="G16" s="67"/>
      <c r="N16" s="100"/>
    </row>
    <row r="17" spans="2:14">
      <c r="B17" s="1"/>
      <c r="C17" s="30"/>
      <c r="D17" s="310"/>
      <c r="E17" s="189" t="s">
        <v>161</v>
      </c>
      <c r="F17" s="297" t="s">
        <v>162</v>
      </c>
      <c r="G17" s="297"/>
      <c r="H17" s="217"/>
      <c r="I17" s="217"/>
      <c r="J17" s="217"/>
      <c r="K17" s="217"/>
      <c r="L17" s="217"/>
      <c r="M17" s="298"/>
      <c r="N17" s="100"/>
    </row>
    <row r="18" spans="2:14">
      <c r="B18" s="1"/>
      <c r="C18" s="30"/>
      <c r="D18" s="310"/>
      <c r="E18" s="205" t="str">
        <f>IF(D15+'Residential New'!D15=100%,"Yes","No")</f>
        <v>Yes</v>
      </c>
      <c r="F18" s="57" t="s">
        <v>163</v>
      </c>
      <c r="G18" s="57"/>
      <c r="H18" s="57"/>
      <c r="I18" s="57"/>
      <c r="J18" s="57"/>
      <c r="K18" s="57"/>
      <c r="L18" s="57"/>
      <c r="M18" s="250"/>
      <c r="N18" s="100"/>
    </row>
    <row r="19" spans="2:14">
      <c r="B19" s="1"/>
      <c r="C19" s="30"/>
      <c r="D19" s="310"/>
      <c r="E19" s="51"/>
      <c r="N19" s="100"/>
    </row>
    <row r="20" spans="2:14">
      <c r="B20" s="1"/>
      <c r="C20" s="30"/>
      <c r="D20" s="53"/>
      <c r="E20" s="189" t="s">
        <v>164</v>
      </c>
      <c r="F20" s="297" t="s">
        <v>165</v>
      </c>
      <c r="G20" s="297"/>
      <c r="H20" s="217"/>
      <c r="I20" s="217"/>
      <c r="J20" s="217"/>
      <c r="K20" s="217"/>
      <c r="L20" s="217"/>
      <c r="M20" s="298"/>
      <c r="N20" s="100"/>
    </row>
    <row r="21" spans="2:14">
      <c r="B21" s="1" t="s">
        <v>166</v>
      </c>
      <c r="C21" s="30"/>
      <c r="D21" s="54" t="e">
        <f>C50/(C50+'Residential New'!C60)</f>
        <v>#DIV/0!</v>
      </c>
      <c r="E21" s="205" t="e">
        <f>IF(D21&lt;=30%,"Yes","No")</f>
        <v>#DIV/0!</v>
      </c>
      <c r="F21" s="57" t="s">
        <v>167</v>
      </c>
      <c r="G21" s="57"/>
      <c r="H21" s="57"/>
      <c r="I21" s="57"/>
      <c r="J21" s="57"/>
      <c r="K21" s="57"/>
      <c r="L21" s="57"/>
      <c r="M21" s="250"/>
      <c r="N21" s="100"/>
    </row>
    <row r="22" spans="2:14">
      <c r="N22" s="100"/>
    </row>
    <row r="23" spans="2:14">
      <c r="B23" s="33" t="s">
        <v>16</v>
      </c>
      <c r="C23" s="148" t="s">
        <v>168</v>
      </c>
      <c r="N23" s="100"/>
    </row>
    <row r="24" spans="2:14">
      <c r="B24" s="180" t="s">
        <v>41</v>
      </c>
      <c r="C24" s="149">
        <f>D$15*'Project Budget'!E17</f>
        <v>0</v>
      </c>
      <c r="N24" s="100"/>
    </row>
    <row r="25" spans="2:14">
      <c r="B25" s="1" t="s">
        <v>19</v>
      </c>
      <c r="C25" s="149">
        <f>D$15*'Project Budget'!E18</f>
        <v>0</v>
      </c>
      <c r="N25" s="100"/>
    </row>
    <row r="26" spans="2:14">
      <c r="B26" s="1" t="s">
        <v>20</v>
      </c>
      <c r="C26" s="149">
        <f>D$15*'Project Budget'!E19</f>
        <v>0</v>
      </c>
      <c r="N26" s="100"/>
    </row>
    <row r="27" spans="2:14">
      <c r="B27" s="1" t="s">
        <v>21</v>
      </c>
      <c r="C27" s="149">
        <f>D$15*'Project Budget'!E20</f>
        <v>0</v>
      </c>
      <c r="N27" s="100"/>
    </row>
    <row r="28" spans="2:14">
      <c r="B28" s="1" t="s">
        <v>22</v>
      </c>
      <c r="C28" s="149">
        <f>D$15*'Project Budget'!E21</f>
        <v>0</v>
      </c>
      <c r="N28" s="100"/>
    </row>
    <row r="29" spans="2:14">
      <c r="B29" s="1" t="str">
        <f>'Project Budget'!B22</f>
        <v>Misc and Buffer</v>
      </c>
      <c r="C29" s="149">
        <f>D$15*'Project Budget'!E22</f>
        <v>0</v>
      </c>
      <c r="N29" s="100"/>
    </row>
    <row r="30" spans="2:14">
      <c r="B30" s="1" t="str">
        <f>'Project Budget'!B23</f>
        <v>Other (describe)</v>
      </c>
      <c r="C30" s="149">
        <f>D$15*'Project Budget'!E23</f>
        <v>0</v>
      </c>
      <c r="N30" s="100"/>
    </row>
    <row r="31" spans="2:14">
      <c r="B31" s="1" t="str">
        <f>'Project Budget'!B24</f>
        <v>Other (describe)</v>
      </c>
      <c r="C31" s="149">
        <f>D$15*'Project Budget'!E24</f>
        <v>0</v>
      </c>
      <c r="N31" s="100"/>
    </row>
    <row r="32" spans="2:14">
      <c r="B32" s="1" t="s">
        <v>25</v>
      </c>
      <c r="C32" s="134">
        <f>SUM(C24:C31)</f>
        <v>0</v>
      </c>
      <c r="N32" s="100"/>
    </row>
    <row r="33" spans="2:14">
      <c r="B33" s="1"/>
      <c r="N33" s="100"/>
    </row>
    <row r="34" spans="2:14">
      <c r="B34" s="2" t="s">
        <v>26</v>
      </c>
      <c r="N34" s="100"/>
    </row>
    <row r="35" spans="2:14">
      <c r="B35" s="180" t="s">
        <v>48</v>
      </c>
      <c r="C35" s="149">
        <f>H92</f>
        <v>0</v>
      </c>
      <c r="E35" s="168"/>
      <c r="N35" s="100"/>
    </row>
    <row r="36" spans="2:14">
      <c r="B36" s="1" t="s">
        <v>50</v>
      </c>
      <c r="C36" s="149">
        <f>'Project Budget'!E29*'Non-Residential'!D15</f>
        <v>0</v>
      </c>
      <c r="N36" s="100"/>
    </row>
    <row r="37" spans="2:14">
      <c r="B37" s="181" t="str">
        <f>'Project Budget'!B30</f>
        <v>Other Financing (describe )</v>
      </c>
      <c r="C37" s="149">
        <f>'Project Budget'!E30*'Non-Residential'!D15</f>
        <v>0</v>
      </c>
      <c r="N37" s="100"/>
    </row>
    <row r="38" spans="2:14">
      <c r="B38" s="181" t="str">
        <f>'Project Budget'!B31</f>
        <v>Other Financing(describe )</v>
      </c>
      <c r="C38" s="149">
        <f>'Project Budget'!E31*'Non-Residential'!D15</f>
        <v>0</v>
      </c>
      <c r="N38" s="100"/>
    </row>
    <row r="39" spans="2:14">
      <c r="B39" s="1" t="s">
        <v>31</v>
      </c>
      <c r="C39" s="134">
        <f>SUM(C35:C38)</f>
        <v>0</v>
      </c>
      <c r="N39" s="100"/>
    </row>
    <row r="40" spans="2:14">
      <c r="N40" s="100"/>
    </row>
    <row r="41" spans="2:14">
      <c r="N41" s="100"/>
    </row>
    <row r="42" spans="2:14">
      <c r="N42" s="100"/>
    </row>
    <row r="43" spans="2:14" ht="15.9">
      <c r="E43" s="171" t="s">
        <v>56</v>
      </c>
      <c r="H43" s="429" t="s">
        <v>104</v>
      </c>
      <c r="N43" s="100"/>
    </row>
    <row r="44" spans="2:14" ht="17.149999999999999">
      <c r="B44" s="33" t="s">
        <v>169</v>
      </c>
      <c r="C44" s="3" t="s">
        <v>67</v>
      </c>
      <c r="D44" s="29" t="s">
        <v>106</v>
      </c>
      <c r="E44" s="150" t="s">
        <v>107</v>
      </c>
      <c r="H44" s="430"/>
      <c r="N44" s="100"/>
    </row>
    <row r="45" spans="2:14">
      <c r="B45" s="1" t="s">
        <v>170</v>
      </c>
      <c r="C45" s="42"/>
      <c r="D45" s="42"/>
      <c r="E45" s="118"/>
      <c r="H45" s="35">
        <f>D45*E45*12</f>
        <v>0</v>
      </c>
      <c r="N45" s="100"/>
    </row>
    <row r="46" spans="2:14">
      <c r="B46" s="1" t="s">
        <v>171</v>
      </c>
      <c r="C46" s="42"/>
      <c r="D46" s="42"/>
      <c r="E46" s="118"/>
      <c r="H46" s="35">
        <f t="shared" ref="H46:H48" si="0">D46*E46*12</f>
        <v>0</v>
      </c>
      <c r="N46" s="100"/>
    </row>
    <row r="47" spans="2:14">
      <c r="B47" s="1" t="s">
        <v>172</v>
      </c>
      <c r="C47" s="42"/>
      <c r="D47" s="42"/>
      <c r="E47" s="118"/>
      <c r="H47" s="35">
        <f t="shared" si="0"/>
        <v>0</v>
      </c>
      <c r="N47" s="100"/>
    </row>
    <row r="48" spans="2:14">
      <c r="B48" s="1" t="s">
        <v>173</v>
      </c>
      <c r="C48" s="42"/>
      <c r="D48" s="42"/>
      <c r="E48" s="119"/>
      <c r="H48" s="35">
        <f t="shared" si="0"/>
        <v>0</v>
      </c>
      <c r="N48" s="100"/>
    </row>
    <row r="49" spans="2:14" ht="17.149999999999999">
      <c r="B49" s="1" t="s">
        <v>174</v>
      </c>
      <c r="C49" s="1"/>
      <c r="D49" s="1"/>
      <c r="E49" s="1"/>
      <c r="H49" s="43"/>
      <c r="N49" s="100"/>
    </row>
    <row r="50" spans="2:14">
      <c r="B50" s="1" t="s">
        <v>112</v>
      </c>
      <c r="C50" s="35">
        <f>SUMPRODUCT(C45:C48,D45:D48)</f>
        <v>0</v>
      </c>
      <c r="D50" s="35">
        <f>SUM(D45:D48)</f>
        <v>0</v>
      </c>
      <c r="E50" s="1"/>
      <c r="H50" s="35">
        <f>SUM(H45:H49)</f>
        <v>0</v>
      </c>
      <c r="N50" s="100"/>
    </row>
    <row r="51" spans="2:14">
      <c r="B51" s="1" t="s">
        <v>175</v>
      </c>
      <c r="C51" s="1"/>
      <c r="D51" s="1"/>
      <c r="E51" s="1"/>
      <c r="H51" s="44"/>
      <c r="N51" s="100"/>
    </row>
    <row r="52" spans="2:14" ht="17.149999999999999">
      <c r="B52" s="1" t="s">
        <v>176</v>
      </c>
      <c r="C52" s="1"/>
      <c r="D52" s="1"/>
      <c r="E52" s="1"/>
      <c r="H52" s="36">
        <f>H51*H50</f>
        <v>0</v>
      </c>
      <c r="N52" s="100"/>
    </row>
    <row r="53" spans="2:14">
      <c r="B53" s="1" t="s">
        <v>103</v>
      </c>
      <c r="C53" s="1"/>
      <c r="D53" s="1"/>
      <c r="E53" s="1"/>
      <c r="H53" s="35">
        <f>H50-H52</f>
        <v>0</v>
      </c>
      <c r="N53" s="100"/>
    </row>
    <row r="54" spans="2:14">
      <c r="N54" s="100"/>
    </row>
    <row r="55" spans="2:14" ht="15.9">
      <c r="B55" s="33" t="s">
        <v>177</v>
      </c>
      <c r="H55" s="171" t="s">
        <v>104</v>
      </c>
      <c r="N55" s="100"/>
    </row>
    <row r="56" spans="2:14">
      <c r="B56" s="1" t="s">
        <v>118</v>
      </c>
      <c r="H56" s="118"/>
      <c r="N56" s="100"/>
    </row>
    <row r="57" spans="2:14">
      <c r="B57" s="1" t="s">
        <v>119</v>
      </c>
      <c r="H57" s="118"/>
      <c r="N57" s="100"/>
    </row>
    <row r="58" spans="2:14">
      <c r="B58" s="1" t="s">
        <v>120</v>
      </c>
      <c r="H58" s="118"/>
      <c r="N58" s="100"/>
    </row>
    <row r="59" spans="2:14">
      <c r="B59" s="1" t="s">
        <v>121</v>
      </c>
      <c r="H59" s="118"/>
      <c r="N59" s="100"/>
    </row>
    <row r="60" spans="2:14" ht="17.149999999999999">
      <c r="B60" s="1" t="s">
        <v>122</v>
      </c>
      <c r="H60" s="122"/>
      <c r="N60" s="100"/>
    </row>
    <row r="61" spans="2:14">
      <c r="B61" s="1" t="s">
        <v>123</v>
      </c>
      <c r="H61" s="121">
        <f>SUM(H58:H60)</f>
        <v>0</v>
      </c>
      <c r="N61" s="100"/>
    </row>
    <row r="62" spans="2:14">
      <c r="B62" s="1" t="s">
        <v>124</v>
      </c>
      <c r="H62" s="118"/>
      <c r="N62" s="100"/>
    </row>
    <row r="63" spans="2:14">
      <c r="B63" s="1" t="s">
        <v>125</v>
      </c>
      <c r="H63" s="118"/>
      <c r="N63" s="100"/>
    </row>
    <row r="64" spans="2:14">
      <c r="B64" s="42" t="s">
        <v>24</v>
      </c>
      <c r="H64" s="118"/>
      <c r="N64" s="100"/>
    </row>
    <row r="65" spans="2:17">
      <c r="B65" s="42" t="s">
        <v>24</v>
      </c>
      <c r="H65" s="118"/>
      <c r="N65" s="100"/>
    </row>
    <row r="66" spans="2:17">
      <c r="B66" s="42" t="s">
        <v>24</v>
      </c>
      <c r="H66" s="118"/>
      <c r="N66" s="100"/>
    </row>
    <row r="67" spans="2:17">
      <c r="B67" s="1" t="s">
        <v>178</v>
      </c>
      <c r="G67" s="151"/>
      <c r="H67" s="153">
        <f>G67*$H$53</f>
        <v>0</v>
      </c>
      <c r="N67" s="100"/>
    </row>
    <row r="68" spans="2:17" ht="17.149999999999999">
      <c r="B68" s="1" t="s">
        <v>179</v>
      </c>
      <c r="G68" s="152"/>
      <c r="H68" s="154">
        <f>G68*$H$53</f>
        <v>0</v>
      </c>
      <c r="N68" s="100"/>
    </row>
    <row r="69" spans="2:17">
      <c r="B69" s="1" t="s">
        <v>128</v>
      </c>
      <c r="H69" s="155">
        <f>SUM(H56:H60,H62:H68)</f>
        <v>0</v>
      </c>
      <c r="N69" s="100"/>
    </row>
    <row r="70" spans="2:17">
      <c r="B70" s="1"/>
      <c r="H70" s="1"/>
      <c r="N70" s="100"/>
    </row>
    <row r="71" spans="2:17">
      <c r="B71" s="30" t="s">
        <v>129</v>
      </c>
      <c r="H71" s="61">
        <f>H53-H69</f>
        <v>0</v>
      </c>
      <c r="N71" s="100"/>
    </row>
    <row r="72" spans="2:17">
      <c r="N72" s="100"/>
    </row>
    <row r="73" spans="2:17">
      <c r="H73" s="45"/>
      <c r="N73" s="100"/>
    </row>
    <row r="74" spans="2:17">
      <c r="B74" s="103" t="s">
        <v>180</v>
      </c>
      <c r="C74" s="105"/>
      <c r="D74" s="373"/>
      <c r="H74" s="46"/>
      <c r="N74" s="100"/>
    </row>
    <row r="75" spans="2:17">
      <c r="B75" s="1" t="s">
        <v>131</v>
      </c>
      <c r="H75" s="64">
        <f>C32-C39</f>
        <v>0</v>
      </c>
      <c r="N75" s="100"/>
    </row>
    <row r="76" spans="2:17">
      <c r="B76" s="1" t="s">
        <v>181</v>
      </c>
      <c r="H76" s="183">
        <f>'Residential New'!I110</f>
        <v>0</v>
      </c>
      <c r="I76" s="168"/>
      <c r="K76" s="115"/>
      <c r="N76" s="100"/>
    </row>
    <row r="77" spans="2:17">
      <c r="B77" s="1" t="s">
        <v>134</v>
      </c>
      <c r="H77" s="184">
        <f>'Residential New'!I111</f>
        <v>0</v>
      </c>
      <c r="I77" s="168"/>
      <c r="N77" s="100"/>
    </row>
    <row r="78" spans="2:17">
      <c r="B78" s="1" t="s">
        <v>135</v>
      </c>
      <c r="H78" s="35">
        <f>IF(H75=0, 0, -PMT((((H76/2)+1)^(1/6))-1, H77*12, H75, 0, 0))</f>
        <v>0</v>
      </c>
      <c r="N78" s="100"/>
    </row>
    <row r="79" spans="2:17">
      <c r="B79" s="1" t="s">
        <v>136</v>
      </c>
      <c r="H79" s="35">
        <f>H78*12</f>
        <v>0</v>
      </c>
      <c r="N79" s="100"/>
    </row>
    <row r="80" spans="2:17">
      <c r="B80" s="127" t="s">
        <v>137</v>
      </c>
      <c r="C80" s="431" t="s">
        <v>182</v>
      </c>
      <c r="D80" s="431"/>
      <c r="E80" s="431"/>
      <c r="F80" s="431"/>
      <c r="G80" s="431"/>
      <c r="H80" s="285">
        <f>IF(H79=0, 0, ROUND((H71/H79),2))</f>
        <v>0</v>
      </c>
      <c r="N80" s="100"/>
      <c r="Q80" s="34"/>
    </row>
    <row r="81" spans="1:17">
      <c r="B81" s="286" t="s">
        <v>183</v>
      </c>
      <c r="C81" s="287"/>
      <c r="D81" s="287"/>
      <c r="E81" s="57"/>
      <c r="F81" s="57"/>
      <c r="G81" s="57"/>
      <c r="H81" s="299" t="str">
        <f>IF(H80&gt;=1.4,"Yes","No")</f>
        <v>No</v>
      </c>
      <c r="N81" s="100"/>
      <c r="Q81" s="34"/>
    </row>
    <row r="82" spans="1:17" ht="6.75" customHeight="1">
      <c r="H82" s="1"/>
      <c r="N82" s="100"/>
      <c r="Q82" s="34"/>
    </row>
    <row r="83" spans="1:17">
      <c r="B83" s="55" t="s">
        <v>131</v>
      </c>
      <c r="C83" s="168"/>
      <c r="H83" s="192">
        <f>C32-C39</f>
        <v>0</v>
      </c>
      <c r="N83" s="100"/>
      <c r="Q83" s="34"/>
    </row>
    <row r="84" spans="1:17">
      <c r="B84" s="55" t="s">
        <v>140</v>
      </c>
      <c r="H84" s="192">
        <f>C32</f>
        <v>0</v>
      </c>
      <c r="N84" s="100"/>
      <c r="Q84" s="34"/>
    </row>
    <row r="85" spans="1:17">
      <c r="B85" s="300" t="s">
        <v>184</v>
      </c>
      <c r="C85" s="217"/>
      <c r="D85" s="432" t="s">
        <v>185</v>
      </c>
      <c r="E85" s="432"/>
      <c r="F85" s="432"/>
      <c r="G85" s="432"/>
      <c r="H85" s="324">
        <f>IF(H84=0, 0, H83/H84)</f>
        <v>0</v>
      </c>
      <c r="N85" s="100"/>
    </row>
    <row r="86" spans="1:17">
      <c r="B86" s="286" t="s">
        <v>186</v>
      </c>
      <c r="C86" s="287"/>
      <c r="D86" s="287"/>
      <c r="E86" s="301"/>
      <c r="F86" s="301"/>
      <c r="G86" s="301"/>
      <c r="H86" s="299" t="str">
        <f>IF(H85&lt;=0.75,"Yes","No")</f>
        <v>Yes</v>
      </c>
      <c r="N86" s="100"/>
    </row>
    <row r="87" spans="1:17">
      <c r="D87" s="185"/>
      <c r="E87" s="186"/>
      <c r="F87" s="186"/>
      <c r="G87" s="186"/>
      <c r="H87" s="39"/>
      <c r="N87" s="100"/>
    </row>
    <row r="88" spans="1:17">
      <c r="B88" s="103" t="s">
        <v>187</v>
      </c>
      <c r="C88" s="105"/>
      <c r="D88" s="373"/>
      <c r="E88" s="186"/>
      <c r="F88" s="186"/>
      <c r="G88" s="186"/>
      <c r="H88" s="39"/>
      <c r="N88" s="100"/>
    </row>
    <row r="89" spans="1:17">
      <c r="B89" s="177" t="s">
        <v>188</v>
      </c>
      <c r="C89" s="55"/>
      <c r="D89" s="206"/>
      <c r="E89" s="186"/>
      <c r="F89" s="186"/>
      <c r="G89" s="186"/>
      <c r="H89" s="192">
        <f>IF((0.25-(1-H85))&lt;0,0,(0.25-(1-H85))*C32)</f>
        <v>0</v>
      </c>
      <c r="N89" s="100"/>
    </row>
    <row r="90" spans="1:17">
      <c r="B90" s="177" t="s">
        <v>189</v>
      </c>
      <c r="C90" s="55"/>
      <c r="D90" s="206"/>
      <c r="E90" s="428"/>
      <c r="F90" s="428"/>
      <c r="G90" s="186"/>
      <c r="H90" s="192">
        <f>IF(H75&gt;C109,H75-C109,0)</f>
        <v>0</v>
      </c>
      <c r="N90" s="100"/>
    </row>
    <row r="91" spans="1:17">
      <c r="B91" s="174" t="s">
        <v>190</v>
      </c>
      <c r="C91" s="55"/>
      <c r="D91" s="206"/>
      <c r="E91" s="186"/>
      <c r="F91" s="186"/>
      <c r="G91" s="186"/>
      <c r="H91" s="193">
        <f>IF(H89&gt;H90,H89,H90)</f>
        <v>0</v>
      </c>
      <c r="J91" s="67" t="s">
        <v>191</v>
      </c>
      <c r="K91" s="67"/>
      <c r="L91" s="67"/>
      <c r="N91" s="100"/>
    </row>
    <row r="92" spans="1:17">
      <c r="B92" s="200" t="s">
        <v>192</v>
      </c>
      <c r="C92" s="55"/>
      <c r="D92" s="206"/>
      <c r="E92" s="186"/>
      <c r="F92" s="186"/>
      <c r="G92" s="186"/>
      <c r="H92" s="208"/>
      <c r="N92" s="100"/>
    </row>
    <row r="93" spans="1:17">
      <c r="H93" s="31"/>
      <c r="N93" s="100"/>
    </row>
    <row r="94" spans="1:17" ht="6" customHeight="1">
      <c r="A94" s="100"/>
      <c r="B94" s="65"/>
      <c r="C94" s="65"/>
      <c r="D94" s="65"/>
      <c r="E94" s="65"/>
      <c r="F94" s="65"/>
      <c r="G94" s="65"/>
      <c r="H94" s="65"/>
      <c r="I94" s="65"/>
      <c r="J94" s="65"/>
      <c r="K94" s="65"/>
      <c r="L94" s="65"/>
      <c r="M94" s="65"/>
      <c r="N94" s="100"/>
    </row>
    <row r="95" spans="1:17">
      <c r="H95" s="1"/>
    </row>
    <row r="96" spans="1:17">
      <c r="H96" s="40"/>
    </row>
    <row r="97" spans="2:8">
      <c r="H97" s="39"/>
    </row>
    <row r="104" spans="2:8" hidden="1"/>
    <row r="105" spans="2:8" hidden="1">
      <c r="B105" s="346" t="s">
        <v>189</v>
      </c>
      <c r="C105" s="346"/>
      <c r="D105" s="1"/>
      <c r="E105" s="1"/>
      <c r="F105" s="1"/>
      <c r="G105" s="1"/>
    </row>
    <row r="106" spans="2:8" hidden="1">
      <c r="B106" s="1" t="s">
        <v>151</v>
      </c>
      <c r="C106" s="179">
        <f>H71/(12*1.4)</f>
        <v>0</v>
      </c>
      <c r="E106" s="1"/>
      <c r="F106" s="1"/>
      <c r="G106" s="1"/>
    </row>
    <row r="107" spans="2:8" hidden="1">
      <c r="B107" s="1" t="s">
        <v>153</v>
      </c>
      <c r="C107" s="178">
        <f>(((H76/2)+1)^(1/6))-1</f>
        <v>0</v>
      </c>
      <c r="E107" s="1"/>
      <c r="F107" s="1"/>
      <c r="G107" s="1"/>
    </row>
    <row r="108" spans="2:8" hidden="1">
      <c r="B108" s="1" t="s">
        <v>154</v>
      </c>
      <c r="C108" s="191">
        <f>H77*12</f>
        <v>0</v>
      </c>
      <c r="E108" s="1"/>
      <c r="F108" s="1"/>
      <c r="G108" s="1"/>
    </row>
    <row r="109" spans="2:8" hidden="1">
      <c r="B109" s="1" t="s">
        <v>155</v>
      </c>
      <c r="C109" s="179">
        <f>IF(C106=0,0,C106*(((1+C107)^C108)-1)/(C107*((1+C107)^C108)))</f>
        <v>0</v>
      </c>
      <c r="E109" s="1"/>
      <c r="F109" s="1"/>
      <c r="G109" s="1"/>
    </row>
  </sheetData>
  <sheetProtection algorithmName="SHA-512" hashValue="9r99WJQnmSo7i3pQWp+WgOH/fBvCYo124b2qPvseWvDTJFJYzn/EeNYYdv3fFYDYjn8pRac5t2iS/5x0ysc75w==" saltValue="f1j8aNr18rakfHQaTPna6Q==" spinCount="100000" sheet="1" selectLockedCells="1"/>
  <mergeCells count="5">
    <mergeCell ref="E90:F90"/>
    <mergeCell ref="H43:H44"/>
    <mergeCell ref="C80:G80"/>
    <mergeCell ref="D85:G85"/>
    <mergeCell ref="E9:M9"/>
  </mergeCells>
  <conditionalFormatting sqref="C38:C39">
    <cfRule type="containsErrors" dxfId="3" priority="5">
      <formula>ISERROR(C38)</formula>
    </cfRule>
  </conditionalFormatting>
  <conditionalFormatting sqref="D21">
    <cfRule type="containsErrors" dxfId="2" priority="3">
      <formula>ISERROR(D21)</formula>
    </cfRule>
  </conditionalFormatting>
  <conditionalFormatting sqref="E15:E17">
    <cfRule type="containsErrors" dxfId="1" priority="2">
      <formula>ISERROR(E15)</formula>
    </cfRule>
  </conditionalFormatting>
  <conditionalFormatting sqref="E21">
    <cfRule type="containsErrors" dxfId="0" priority="1">
      <formula>ISERROR(E21)</formula>
    </cfRule>
  </conditionalFormatting>
  <pageMargins left="0.70866141732283472" right="0.70866141732283472" top="0.74803149606299213" bottom="0.74803149606299213" header="0.31496062992125984" footer="0.31496062992125984"/>
  <pageSetup scale="58" orientation="portrait" r:id="rId1"/>
  <headerFooter>
    <oddHeader>&amp;C&amp;"Calibri"&amp;10&amp;K000000 Unclassified-Non classifié&amp;1#_x000D_</oddHeader>
    <oddFooter>&amp;C_x000D_&amp;1#&amp;"Calibri"&amp;10&amp;K000000 Unclassified-Non classifié</oddFooter>
  </headerFooter>
  <ignoredErrors>
    <ignoredError sqref="C24:C34 H67 C36" unlockedFormula="1"/>
    <ignoredError sqref="D21:E21" evalErro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6DFA6-B552-4F02-867E-B79107A0CE9D}">
  <sheetPr>
    <pageSetUpPr fitToPage="1"/>
  </sheetPr>
  <dimension ref="A1:T166"/>
  <sheetViews>
    <sheetView showGridLines="0" zoomScale="85" zoomScaleNormal="85" workbookViewId="0">
      <pane ySplit="12" topLeftCell="A13" activePane="bottomLeft" state="frozen"/>
      <selection activeCell="B39" sqref="B39"/>
      <selection pane="bottomLeft" activeCell="G97" sqref="G97"/>
    </sheetView>
  </sheetViews>
  <sheetFormatPr defaultRowHeight="14.6"/>
  <cols>
    <col min="1" max="1" width="2.69140625" customWidth="1"/>
    <col min="2" max="2" width="32.53515625" style="72" customWidth="1"/>
    <col min="3" max="3" width="2.69140625" style="72" customWidth="1"/>
    <col min="4" max="4" width="91.23046875" customWidth="1"/>
    <col min="5" max="5" width="18.84375" customWidth="1"/>
    <col min="6" max="6" width="11.84375" customWidth="1"/>
    <col min="7" max="7" width="22.15234375" style="51" customWidth="1"/>
    <col min="8" max="8" width="17.84375" style="51" customWidth="1"/>
    <col min="9" max="10" width="2.69140625" customWidth="1"/>
    <col min="11" max="11" width="4" customWidth="1"/>
  </cols>
  <sheetData>
    <row r="1" spans="1:12">
      <c r="A1" s="111"/>
      <c r="B1" s="65" t="s">
        <v>3</v>
      </c>
      <c r="C1" s="65"/>
      <c r="D1" s="65"/>
      <c r="E1" s="111"/>
      <c r="F1" s="65" t="s">
        <v>3</v>
      </c>
      <c r="G1" s="65"/>
      <c r="H1" s="65"/>
      <c r="I1" s="65"/>
      <c r="J1" s="112"/>
    </row>
    <row r="2" spans="1:12" ht="6" customHeight="1">
      <c r="A2" s="110"/>
      <c r="B2" s="110"/>
      <c r="C2" s="110"/>
      <c r="D2" s="110"/>
      <c r="E2" s="110"/>
      <c r="F2" s="110"/>
      <c r="G2" s="110"/>
      <c r="H2" s="110"/>
      <c r="I2" s="110"/>
      <c r="J2" s="112"/>
    </row>
    <row r="3" spans="1:12">
      <c r="B3" t="s">
        <v>4</v>
      </c>
      <c r="D3" s="259">
        <f>IF(OR(('Residential New'!I113+'Non-Residential'!H79)=0, ISERR(('Residential New'!I113+'Non-Residential'!H79))), 0, ('Residential New'!I104+'Non-Residential'!H71)/('Residential New'!I113+'Non-Residential'!H79))</f>
        <v>0</v>
      </c>
      <c r="E3" t="s">
        <v>5</v>
      </c>
      <c r="G3" s="265">
        <f>IF('Project Budget'!E25=0, 0, ('Residential New'!I109+'Non-Residential'!H75)/'Project Budget'!E25)</f>
        <v>0</v>
      </c>
      <c r="J3" s="112"/>
    </row>
    <row r="4" spans="1:12">
      <c r="B4" s="72" t="s">
        <v>6</v>
      </c>
      <c r="D4" s="261">
        <f>'Residential New'!I114</f>
        <v>0</v>
      </c>
      <c r="E4" t="s">
        <v>7</v>
      </c>
      <c r="G4" s="266">
        <f>'Residential New'!I119</f>
        <v>0</v>
      </c>
      <c r="J4" s="112"/>
    </row>
    <row r="5" spans="1:12">
      <c r="B5" t="s">
        <v>8</v>
      </c>
      <c r="D5" s="259">
        <f>'Non-Residential'!H80</f>
        <v>0</v>
      </c>
      <c r="E5" t="s">
        <v>9</v>
      </c>
      <c r="G5" s="266">
        <f>'Non-Residential'!H85</f>
        <v>0</v>
      </c>
      <c r="J5" s="112"/>
    </row>
    <row r="6" spans="1:12">
      <c r="B6" s="257" t="s">
        <v>10</v>
      </c>
      <c r="D6" s="51" t="str">
        <f>'Residential New'!L37</f>
        <v>No</v>
      </c>
      <c r="E6" t="s">
        <v>34</v>
      </c>
      <c r="F6" s="72"/>
      <c r="G6" s="264">
        <f>'Residential New'!I109+'Non-Residential'!H75</f>
        <v>0</v>
      </c>
      <c r="J6" s="112"/>
    </row>
    <row r="7" spans="1:12">
      <c r="B7" t="s">
        <v>12</v>
      </c>
      <c r="C7" s="321"/>
      <c r="D7" s="321">
        <f>Scoring!H92</f>
        <v>0</v>
      </c>
      <c r="E7" t="s">
        <v>13</v>
      </c>
      <c r="F7" s="72"/>
      <c r="G7" s="260">
        <f>'Residential New'!I126+'Non-Residential'!H91</f>
        <v>0</v>
      </c>
      <c r="J7" s="112"/>
    </row>
    <row r="8" spans="1:12" ht="3" customHeight="1">
      <c r="B8" s="110"/>
      <c r="C8" s="110"/>
      <c r="D8" s="110"/>
      <c r="E8" s="110"/>
      <c r="F8" s="110"/>
      <c r="G8" s="110"/>
      <c r="H8" s="110"/>
      <c r="J8" s="112"/>
    </row>
    <row r="9" spans="1:12" ht="15" customHeight="1">
      <c r="B9" s="262" t="s">
        <v>14</v>
      </c>
      <c r="C9" s="263"/>
      <c r="D9" s="314">
        <f>Scoring!H130</f>
        <v>0</v>
      </c>
      <c r="E9" s="421" t="str">
        <f>Scoring!C155</f>
        <v>Tier 3 - Up to 90% LTC, 45 yrs Am, 10 yr term</v>
      </c>
      <c r="F9" s="422"/>
      <c r="G9" s="422"/>
      <c r="H9" s="422"/>
      <c r="J9" s="112"/>
    </row>
    <row r="10" spans="1:12" ht="3" customHeight="1">
      <c r="A10" s="110"/>
      <c r="B10" s="110"/>
      <c r="C10" s="110"/>
      <c r="D10" s="110"/>
      <c r="E10" s="110"/>
      <c r="F10" s="110"/>
      <c r="G10" s="110"/>
      <c r="H10" s="110"/>
      <c r="I10" s="110"/>
      <c r="J10" s="112"/>
    </row>
    <row r="11" spans="1:12" ht="3" customHeight="1">
      <c r="A11" s="112"/>
      <c r="B11" s="65"/>
      <c r="C11" s="65"/>
      <c r="D11" s="65"/>
      <c r="E11" s="65"/>
      <c r="F11" s="65"/>
      <c r="G11" s="65"/>
      <c r="H11" s="65"/>
      <c r="I11" s="65"/>
      <c r="J11" s="112"/>
    </row>
    <row r="12" spans="1:12" ht="15" customHeight="1">
      <c r="B12"/>
      <c r="C12"/>
      <c r="G12"/>
      <c r="H12"/>
    </row>
    <row r="13" spans="1:12" ht="15.9">
      <c r="A13" s="100"/>
      <c r="B13" s="159" t="s">
        <v>193</v>
      </c>
      <c r="C13" s="73"/>
      <c r="D13" s="73"/>
      <c r="E13" s="73"/>
      <c r="F13" s="73"/>
      <c r="G13" s="73"/>
      <c r="H13" s="73"/>
      <c r="I13" s="73"/>
      <c r="J13" s="100"/>
      <c r="K13" s="51"/>
    </row>
    <row r="14" spans="1:12">
      <c r="B14" s="76"/>
      <c r="C14" s="76"/>
      <c r="D14" s="57"/>
      <c r="E14" s="58" t="s">
        <v>194</v>
      </c>
      <c r="F14" s="58"/>
      <c r="G14" s="70" t="s">
        <v>195</v>
      </c>
      <c r="H14" s="58" t="s">
        <v>196</v>
      </c>
      <c r="J14" s="100"/>
    </row>
    <row r="15" spans="1:12">
      <c r="B15" s="74" t="s">
        <v>197</v>
      </c>
      <c r="C15" s="74"/>
      <c r="E15" s="51"/>
      <c r="F15" s="51"/>
      <c r="G15" s="309"/>
      <c r="J15" s="100"/>
    </row>
    <row r="16" spans="1:12" ht="45" customHeight="1">
      <c r="B16" s="74"/>
      <c r="C16" s="74"/>
      <c r="D16" s="161" t="s">
        <v>198</v>
      </c>
      <c r="E16" s="133" t="s">
        <v>199</v>
      </c>
      <c r="F16" s="133"/>
      <c r="G16" s="307" t="s">
        <v>200</v>
      </c>
      <c r="H16" s="63"/>
      <c r="J16" s="100"/>
      <c r="L16" s="222"/>
    </row>
    <row r="17" spans="2:10">
      <c r="B17" s="74"/>
      <c r="C17" s="74"/>
      <c r="E17" s="51"/>
      <c r="F17" s="51"/>
      <c r="G17" s="309"/>
      <c r="J17" s="100"/>
    </row>
    <row r="18" spans="2:10">
      <c r="B18" s="216" t="s">
        <v>201</v>
      </c>
      <c r="C18" s="216"/>
      <c r="D18" s="217"/>
      <c r="E18" s="224"/>
      <c r="F18" s="224"/>
      <c r="G18" s="224"/>
      <c r="H18" s="224"/>
      <c r="J18" s="100"/>
    </row>
    <row r="19" spans="2:10" ht="29.15">
      <c r="B19" s="74"/>
      <c r="C19" s="74"/>
      <c r="D19" s="161" t="s">
        <v>202</v>
      </c>
      <c r="E19" s="133" t="s">
        <v>203</v>
      </c>
      <c r="F19" s="72"/>
      <c r="G19" s="132" t="s">
        <v>204</v>
      </c>
      <c r="J19" s="100"/>
    </row>
    <row r="20" spans="2:10">
      <c r="B20" s="74"/>
      <c r="C20" s="74"/>
      <c r="D20" s="72"/>
      <c r="E20" s="72"/>
      <c r="F20" s="72"/>
      <c r="G20"/>
      <c r="H20" s="309"/>
      <c r="J20" s="100"/>
    </row>
    <row r="21" spans="2:10" ht="28.5" customHeight="1">
      <c r="B21" s="74"/>
      <c r="C21" s="74"/>
      <c r="D21" s="75" t="s">
        <v>205</v>
      </c>
      <c r="E21" s="72"/>
      <c r="F21" s="72"/>
      <c r="G21"/>
      <c r="H21" s="309"/>
      <c r="J21" s="100"/>
    </row>
    <row r="22" spans="2:10" ht="21.75" customHeight="1">
      <c r="B22" s="131" t="s">
        <v>206</v>
      </c>
      <c r="C22" s="74"/>
      <c r="D22" s="55" t="s">
        <v>207</v>
      </c>
      <c r="E22" s="51"/>
      <c r="F22" s="51"/>
      <c r="G22" s="437" t="s">
        <v>207</v>
      </c>
      <c r="H22" s="309"/>
      <c r="J22" s="100"/>
    </row>
    <row r="23" spans="2:10">
      <c r="B23" s="72" t="s">
        <v>208</v>
      </c>
      <c r="C23" s="131"/>
      <c r="D23" s="55" t="s">
        <v>209</v>
      </c>
      <c r="E23" s="51"/>
      <c r="F23" s="435"/>
      <c r="G23" s="437"/>
      <c r="H23" s="447"/>
      <c r="J23" s="100"/>
    </row>
    <row r="24" spans="2:10" ht="18" customHeight="1">
      <c r="B24" s="72" t="s">
        <v>208</v>
      </c>
      <c r="D24" s="55" t="s">
        <v>210</v>
      </c>
      <c r="E24" s="51"/>
      <c r="F24" s="435"/>
      <c r="G24" s="437"/>
      <c r="H24" s="447"/>
      <c r="J24" s="100"/>
    </row>
    <row r="25" spans="2:10" ht="14.5" customHeight="1">
      <c r="E25" s="211"/>
      <c r="F25" s="435"/>
      <c r="G25" s="437"/>
      <c r="H25" s="447"/>
      <c r="J25" s="100"/>
    </row>
    <row r="26" spans="2:10">
      <c r="G26" s="63"/>
      <c r="H26" s="348"/>
      <c r="J26" s="100"/>
    </row>
    <row r="27" spans="2:10" ht="15" customHeight="1">
      <c r="B27" s="55" t="s">
        <v>211</v>
      </c>
      <c r="C27" s="131"/>
      <c r="D27" s="55" t="s">
        <v>212</v>
      </c>
      <c r="E27" s="51"/>
      <c r="G27" s="437" t="s">
        <v>212</v>
      </c>
      <c r="H27" s="342">
        <f>IF(G27=D27,1, IF(G27=D28,2,IF(G27=D29,3,(IF(G27=D30,4,"")))))</f>
        <v>1</v>
      </c>
      <c r="J27" s="100"/>
    </row>
    <row r="28" spans="2:10">
      <c r="B28" s="160"/>
      <c r="C28" s="131"/>
      <c r="D28" s="55" t="s">
        <v>213</v>
      </c>
      <c r="E28" s="51"/>
      <c r="F28" s="435"/>
      <c r="G28" s="437"/>
      <c r="H28" s="448"/>
      <c r="J28" s="100"/>
    </row>
    <row r="29" spans="2:10">
      <c r="D29" s="55" t="s">
        <v>214</v>
      </c>
      <c r="E29" s="51"/>
      <c r="F29" s="435"/>
      <c r="G29" s="437"/>
      <c r="H29" s="448"/>
      <c r="J29" s="100"/>
    </row>
    <row r="30" spans="2:10">
      <c r="D30" s="55" t="s">
        <v>215</v>
      </c>
      <c r="E30" s="51"/>
      <c r="F30" s="435"/>
      <c r="G30" s="437"/>
      <c r="H30" s="448"/>
      <c r="J30" s="100"/>
    </row>
    <row r="31" spans="2:10" ht="4.5" customHeight="1">
      <c r="D31" s="55"/>
      <c r="G31" s="63"/>
      <c r="H31" s="342"/>
      <c r="J31" s="100"/>
    </row>
    <row r="32" spans="2:10" s="349" customFormat="1" ht="28.5" customHeight="1">
      <c r="B32" s="75"/>
      <c r="C32" s="75"/>
      <c r="D32" s="358" t="s">
        <v>216</v>
      </c>
      <c r="G32" s="69"/>
      <c r="H32" s="356"/>
      <c r="J32" s="357"/>
    </row>
    <row r="33" spans="2:10" ht="18.75" customHeight="1">
      <c r="B33" s="72" t="s">
        <v>217</v>
      </c>
      <c r="D33" s="55" t="s">
        <v>218</v>
      </c>
      <c r="E33" s="51"/>
      <c r="F33" s="435"/>
      <c r="G33" s="437" t="s">
        <v>218</v>
      </c>
      <c r="H33" s="448">
        <f>IF(G33=D33,1,IF(G33=D34,2,IF(G33=D35,3,"")))</f>
        <v>1</v>
      </c>
      <c r="J33" s="100"/>
    </row>
    <row r="34" spans="2:10" ht="17.25" customHeight="1">
      <c r="D34" s="55" t="s">
        <v>219</v>
      </c>
      <c r="E34" s="51"/>
      <c r="F34" s="435"/>
      <c r="G34" s="437"/>
      <c r="H34" s="448"/>
      <c r="J34" s="100"/>
    </row>
    <row r="35" spans="2:10" ht="18.75" customHeight="1">
      <c r="D35" s="55" t="s">
        <v>220</v>
      </c>
      <c r="E35" s="51"/>
      <c r="F35" s="435"/>
      <c r="G35" s="437"/>
      <c r="H35" s="448"/>
      <c r="J35" s="100"/>
    </row>
    <row r="36" spans="2:10" ht="11.25" customHeight="1">
      <c r="E36" s="55"/>
      <c r="F36" s="55"/>
      <c r="G36" s="55"/>
      <c r="H36" s="342" cm="1">
        <f t="array" ref="H36">IF(G22=D22, INDEX('Lending flex scorecard (hide)'!B20:E22, H33,H27), IF(G22=D23, INDEX('Lending flex scorecard (hide)'!B25:E27, H33,H27), IF(G22=D24, INDEX('Lending flex scorecard (hide)'!B30:E32, H33,H27),””)))</f>
        <v>0</v>
      </c>
      <c r="J36" s="100"/>
    </row>
    <row r="37" spans="2:10">
      <c r="B37" s="223" t="s">
        <v>221</v>
      </c>
      <c r="D37" s="438" t="str">
        <f>IF(AND(G19="Criteria B",H36&lt;11),"Under Criteria B, the affordability score will be the greater of 11 points or the calculated score above.","")</f>
        <v/>
      </c>
      <c r="E37" s="438"/>
      <c r="F37" s="438"/>
      <c r="G37" s="438"/>
      <c r="H37" s="63">
        <f>IF(G19="Criteria A",H36,IF(H36&lt;11,11,H36))</f>
        <v>0</v>
      </c>
      <c r="J37" s="100"/>
    </row>
    <row r="38" spans="2:10" ht="4.5" customHeight="1">
      <c r="B38" s="76"/>
      <c r="C38" s="76"/>
      <c r="D38" s="57"/>
      <c r="E38" s="71"/>
      <c r="F38" s="57"/>
      <c r="G38" s="58"/>
      <c r="H38" s="58"/>
      <c r="J38" s="100"/>
    </row>
    <row r="39" spans="2:10">
      <c r="B39" s="74" t="s">
        <v>222</v>
      </c>
      <c r="C39" s="74"/>
      <c r="E39" s="56"/>
      <c r="J39" s="100"/>
    </row>
    <row r="40" spans="2:10" ht="44.25" customHeight="1">
      <c r="B40" s="74"/>
      <c r="C40" s="74"/>
      <c r="D40" s="75" t="s">
        <v>223</v>
      </c>
      <c r="E40" s="56"/>
      <c r="J40" s="100"/>
    </row>
    <row r="41" spans="2:10" ht="18" customHeight="1">
      <c r="C41" s="74"/>
      <c r="D41" t="s">
        <v>224</v>
      </c>
      <c r="E41" s="51">
        <v>0</v>
      </c>
      <c r="G41"/>
      <c r="H41"/>
      <c r="J41" s="100"/>
    </row>
    <row r="42" spans="2:10" ht="18" customHeight="1">
      <c r="B42" s="74"/>
      <c r="C42" s="74"/>
      <c r="D42" t="s">
        <v>225</v>
      </c>
      <c r="E42" s="51">
        <v>5</v>
      </c>
      <c r="G42"/>
      <c r="H42"/>
      <c r="J42" s="100"/>
    </row>
    <row r="43" spans="2:10" ht="18" customHeight="1">
      <c r="B43" s="74"/>
      <c r="C43" s="74"/>
      <c r="D43" t="s">
        <v>226</v>
      </c>
      <c r="E43" s="51">
        <v>5</v>
      </c>
      <c r="G43"/>
      <c r="H43"/>
      <c r="J43" s="100"/>
    </row>
    <row r="44" spans="2:10" ht="18" customHeight="1">
      <c r="B44" s="72" t="s">
        <v>227</v>
      </c>
      <c r="C44" s="74"/>
      <c r="D44" t="s">
        <v>228</v>
      </c>
      <c r="E44" s="51">
        <v>5</v>
      </c>
      <c r="G44" s="441">
        <v>0</v>
      </c>
      <c r="H44" s="435">
        <f>G44</f>
        <v>0</v>
      </c>
      <c r="J44" s="100"/>
    </row>
    <row r="45" spans="2:10" ht="32.5" customHeight="1">
      <c r="B45" s="74"/>
      <c r="C45" s="74"/>
      <c r="D45" s="72" t="s">
        <v>229</v>
      </c>
      <c r="E45" s="63">
        <v>10</v>
      </c>
      <c r="G45" s="441"/>
      <c r="H45" s="435"/>
      <c r="J45" s="100"/>
    </row>
    <row r="46" spans="2:10" ht="18" customHeight="1">
      <c r="B46" s="74"/>
      <c r="C46" s="74"/>
      <c r="D46" t="s">
        <v>230</v>
      </c>
      <c r="E46" s="51">
        <v>10</v>
      </c>
      <c r="G46"/>
      <c r="H46"/>
      <c r="J46" s="100"/>
    </row>
    <row r="47" spans="2:10" ht="18" customHeight="1">
      <c r="B47" s="74"/>
      <c r="C47" s="74"/>
      <c r="D47" t="s">
        <v>231</v>
      </c>
      <c r="E47" s="51">
        <v>10</v>
      </c>
      <c r="G47"/>
      <c r="H47"/>
      <c r="J47" s="100"/>
    </row>
    <row r="48" spans="2:10" ht="18" customHeight="1">
      <c r="B48" s="74"/>
      <c r="C48" s="74"/>
      <c r="D48" s="75" t="s">
        <v>232</v>
      </c>
      <c r="E48" s="51">
        <v>10</v>
      </c>
      <c r="G48"/>
      <c r="H48"/>
      <c r="J48" s="100"/>
    </row>
    <row r="49" spans="2:10" hidden="1">
      <c r="B49" s="74"/>
      <c r="C49" s="74"/>
      <c r="E49" s="56"/>
      <c r="J49" s="100"/>
    </row>
    <row r="50" spans="2:10" hidden="1">
      <c r="B50" s="74"/>
      <c r="C50" s="74"/>
      <c r="E50" s="56"/>
      <c r="J50" s="100"/>
    </row>
    <row r="51" spans="2:10" hidden="1">
      <c r="B51" s="74"/>
      <c r="C51" s="74"/>
      <c r="E51" s="56"/>
      <c r="J51" s="100"/>
    </row>
    <row r="52" spans="2:10" ht="29.15" hidden="1">
      <c r="B52" s="209" t="s">
        <v>233</v>
      </c>
      <c r="C52" s="212"/>
      <c r="D52" s="213" t="s">
        <v>234</v>
      </c>
      <c r="E52" s="214">
        <v>2</v>
      </c>
      <c r="F52" s="215" t="s">
        <v>235</v>
      </c>
      <c r="G52" s="308"/>
      <c r="H52" s="210">
        <f>G52</f>
        <v>0</v>
      </c>
      <c r="J52" s="100"/>
    </row>
    <row r="53" spans="2:10" hidden="1">
      <c r="B53" s="209"/>
      <c r="C53" s="209"/>
      <c r="D53" s="213"/>
      <c r="E53" s="210"/>
      <c r="F53" s="210"/>
      <c r="G53" s="210"/>
      <c r="H53" s="210"/>
      <c r="J53" s="100"/>
    </row>
    <row r="54" spans="2:10" ht="29.25" hidden="1" customHeight="1">
      <c r="B54" s="209" t="s">
        <v>236</v>
      </c>
      <c r="C54" s="209"/>
      <c r="D54" s="213" t="s">
        <v>237</v>
      </c>
      <c r="E54" s="214">
        <v>2</v>
      </c>
      <c r="F54" s="215" t="s">
        <v>235</v>
      </c>
      <c r="G54" s="308"/>
      <c r="H54" s="210">
        <f>G54</f>
        <v>0</v>
      </c>
      <c r="J54" s="100"/>
    </row>
    <row r="55" spans="2:10">
      <c r="B55" s="76"/>
      <c r="C55" s="76"/>
      <c r="D55" s="57"/>
      <c r="E55" s="163"/>
      <c r="F55" s="57"/>
      <c r="G55" s="58"/>
      <c r="H55" s="58"/>
      <c r="J55" s="100"/>
    </row>
    <row r="56" spans="2:10" ht="15.75" customHeight="1">
      <c r="B56" s="74" t="s">
        <v>238</v>
      </c>
      <c r="C56" s="74"/>
      <c r="E56" s="102"/>
      <c r="J56" s="100"/>
    </row>
    <row r="57" spans="2:10" ht="68.5" customHeight="1">
      <c r="B57" s="74"/>
      <c r="C57" s="74"/>
      <c r="D57" s="161" t="s">
        <v>239</v>
      </c>
      <c r="E57" s="133" t="s">
        <v>240</v>
      </c>
      <c r="G57" s="132" t="s">
        <v>241</v>
      </c>
      <c r="J57" s="100"/>
    </row>
    <row r="58" spans="2:10" ht="15.75" customHeight="1">
      <c r="B58" s="74"/>
      <c r="C58" s="74"/>
      <c r="E58" s="63"/>
      <c r="J58" s="100"/>
    </row>
    <row r="59" spans="2:10" ht="15.75" customHeight="1">
      <c r="B59" s="74"/>
      <c r="C59" s="74"/>
      <c r="D59" t="s">
        <v>242</v>
      </c>
      <c r="E59" s="63">
        <v>0</v>
      </c>
      <c r="G59"/>
      <c r="H59"/>
      <c r="J59" s="100"/>
    </row>
    <row r="60" spans="2:10" ht="15.75" customHeight="1">
      <c r="B60" s="74"/>
      <c r="C60" s="74"/>
      <c r="D60" t="s">
        <v>243</v>
      </c>
      <c r="E60" s="63">
        <v>7</v>
      </c>
      <c r="G60"/>
      <c r="H60"/>
      <c r="J60" s="100"/>
    </row>
    <row r="61" spans="2:10" ht="15.75" customHeight="1">
      <c r="C61" s="74"/>
      <c r="D61" t="s">
        <v>244</v>
      </c>
      <c r="E61" s="63">
        <v>14</v>
      </c>
      <c r="G61"/>
      <c r="H61"/>
      <c r="J61" s="100"/>
    </row>
    <row r="62" spans="2:10" ht="15.75" customHeight="1">
      <c r="B62" s="74"/>
      <c r="C62" s="74"/>
      <c r="D62" t="s">
        <v>245</v>
      </c>
      <c r="E62" s="63">
        <v>24</v>
      </c>
      <c r="G62" s="441">
        <v>0</v>
      </c>
      <c r="H62" s="435">
        <f>G62</f>
        <v>0</v>
      </c>
      <c r="J62" s="100"/>
    </row>
    <row r="63" spans="2:10" ht="23.5" customHeight="1">
      <c r="B63" s="72" t="s">
        <v>246</v>
      </c>
      <c r="C63" s="74"/>
      <c r="D63" t="s">
        <v>247</v>
      </c>
      <c r="E63" s="51">
        <v>0</v>
      </c>
      <c r="G63" s="441"/>
      <c r="H63" s="435"/>
      <c r="J63" s="100"/>
    </row>
    <row r="64" spans="2:10" ht="15.75" customHeight="1">
      <c r="B64" s="74"/>
      <c r="C64" s="74"/>
      <c r="D64" t="s">
        <v>248</v>
      </c>
      <c r="E64" s="51">
        <v>0</v>
      </c>
      <c r="G64" s="441"/>
      <c r="H64" s="435"/>
      <c r="J64" s="100"/>
    </row>
    <row r="65" spans="2:10" ht="15.75" customHeight="1">
      <c r="B65" s="74"/>
      <c r="C65" s="74"/>
      <c r="D65" t="s">
        <v>249</v>
      </c>
      <c r="E65" s="51">
        <v>7</v>
      </c>
      <c r="G65"/>
      <c r="H65"/>
      <c r="J65" s="100"/>
    </row>
    <row r="66" spans="2:10" ht="15.75" customHeight="1">
      <c r="B66" s="74"/>
      <c r="C66" s="74"/>
      <c r="D66" t="s">
        <v>250</v>
      </c>
      <c r="E66" s="51">
        <v>14</v>
      </c>
      <c r="G66"/>
      <c r="H66"/>
      <c r="J66" s="100"/>
    </row>
    <row r="67" spans="2:10" ht="15.75" customHeight="1">
      <c r="B67" s="74"/>
      <c r="C67" s="74"/>
      <c r="D67" t="s">
        <v>251</v>
      </c>
      <c r="E67" s="51">
        <v>24</v>
      </c>
      <c r="G67"/>
      <c r="H67"/>
      <c r="J67" s="100"/>
    </row>
    <row r="68" spans="2:10" ht="15.75" customHeight="1">
      <c r="B68" s="74"/>
      <c r="C68" s="74"/>
      <c r="E68" s="102"/>
      <c r="J68" s="100"/>
    </row>
    <row r="69" spans="2:10">
      <c r="B69" s="216" t="s">
        <v>252</v>
      </c>
      <c r="C69" s="216"/>
      <c r="D69" s="242"/>
      <c r="E69" s="217"/>
      <c r="F69" s="217"/>
      <c r="G69" s="218"/>
      <c r="H69" s="218"/>
      <c r="J69" s="100"/>
    </row>
    <row r="70" spans="2:10">
      <c r="B70" s="72" t="s">
        <v>208</v>
      </c>
      <c r="D70" s="55"/>
      <c r="E70" s="63"/>
      <c r="F70" s="63"/>
      <c r="G70" s="63"/>
      <c r="H70" s="63"/>
      <c r="J70" s="100"/>
    </row>
    <row r="71" spans="2:10">
      <c r="B71" s="72" t="s">
        <v>253</v>
      </c>
      <c r="D71" s="194" t="s">
        <v>254</v>
      </c>
      <c r="E71" s="434" t="s">
        <v>255</v>
      </c>
      <c r="F71" s="435"/>
      <c r="G71" s="222"/>
      <c r="H71" s="222"/>
      <c r="J71" s="100"/>
    </row>
    <row r="72" spans="2:10" ht="29.15">
      <c r="B72" s="72" t="s">
        <v>256</v>
      </c>
      <c r="D72" s="194" t="s">
        <v>257</v>
      </c>
      <c r="E72" s="435"/>
      <c r="F72" s="435"/>
      <c r="G72" s="441">
        <v>0</v>
      </c>
      <c r="H72" s="435">
        <f>G72</f>
        <v>0</v>
      </c>
      <c r="J72" s="100"/>
    </row>
    <row r="73" spans="2:10" ht="15" customHeight="1">
      <c r="D73" s="194" t="s">
        <v>258</v>
      </c>
      <c r="E73" s="435"/>
      <c r="F73" s="435"/>
      <c r="G73" s="441"/>
      <c r="H73" s="435"/>
      <c r="J73" s="100"/>
    </row>
    <row r="74" spans="2:10" ht="15" customHeight="1">
      <c r="D74" s="195" t="s">
        <v>259</v>
      </c>
      <c r="E74" s="435"/>
      <c r="F74" s="435"/>
      <c r="G74" s="222"/>
      <c r="H74" s="222"/>
      <c r="J74" s="100"/>
    </row>
    <row r="75" spans="2:10" ht="15" customHeight="1">
      <c r="D75" s="195" t="s">
        <v>260</v>
      </c>
      <c r="E75" s="435"/>
      <c r="F75" s="435"/>
      <c r="H75" s="222"/>
      <c r="J75" s="100"/>
    </row>
    <row r="76" spans="2:10">
      <c r="D76" s="194" t="s">
        <v>261</v>
      </c>
      <c r="E76" s="435"/>
      <c r="F76" s="435"/>
      <c r="G76" s="222"/>
      <c r="H76" s="222"/>
      <c r="J76" s="100"/>
    </row>
    <row r="77" spans="2:10" ht="15" customHeight="1">
      <c r="D77" s="194" t="s">
        <v>262</v>
      </c>
      <c r="G77" s="63"/>
      <c r="H77" s="63"/>
      <c r="J77" s="100"/>
    </row>
    <row r="78" spans="2:10" ht="15" customHeight="1">
      <c r="D78" s="194"/>
      <c r="G78" s="63"/>
      <c r="H78" s="63"/>
      <c r="J78" s="100"/>
    </row>
    <row r="79" spans="2:10" ht="15" customHeight="1">
      <c r="D79" s="194"/>
      <c r="G79" s="63"/>
      <c r="H79" s="63"/>
      <c r="J79" s="100"/>
    </row>
    <row r="80" spans="2:10" ht="29.15">
      <c r="B80" s="162" t="s">
        <v>263</v>
      </c>
      <c r="C80" s="131"/>
      <c r="D80" s="196" t="s">
        <v>264</v>
      </c>
      <c r="E80" s="59" t="s">
        <v>265</v>
      </c>
      <c r="F80" s="59"/>
      <c r="G80" s="132">
        <v>0</v>
      </c>
      <c r="H80" s="63">
        <f>G80</f>
        <v>0</v>
      </c>
      <c r="J80" s="100"/>
    </row>
    <row r="81" spans="1:10">
      <c r="B81" s="76"/>
      <c r="C81" s="76"/>
      <c r="D81" s="57"/>
      <c r="E81" s="71"/>
      <c r="F81" s="57"/>
      <c r="G81" s="58"/>
      <c r="H81" s="58"/>
      <c r="J81" s="100"/>
    </row>
    <row r="82" spans="1:10">
      <c r="B82" s="74" t="s">
        <v>266</v>
      </c>
      <c r="C82" s="74"/>
      <c r="E82" s="56"/>
      <c r="J82" s="100"/>
    </row>
    <row r="83" spans="1:10" ht="29.15">
      <c r="B83" s="72" t="s">
        <v>267</v>
      </c>
      <c r="C83" s="74"/>
      <c r="D83" s="161" t="s">
        <v>268</v>
      </c>
      <c r="E83" s="59" t="s">
        <v>269</v>
      </c>
      <c r="F83" s="59"/>
      <c r="G83" s="132">
        <v>0</v>
      </c>
      <c r="H83" s="63">
        <f>G83</f>
        <v>0</v>
      </c>
      <c r="J83" s="100"/>
    </row>
    <row r="84" spans="1:10">
      <c r="B84" s="74"/>
      <c r="C84" s="74"/>
      <c r="D84" s="161"/>
      <c r="E84" s="59"/>
      <c r="F84" s="59"/>
      <c r="G84" s="63"/>
      <c r="H84" s="63"/>
      <c r="J84" s="100"/>
    </row>
    <row r="85" spans="1:10" ht="29.15">
      <c r="B85" s="72" t="s">
        <v>270</v>
      </c>
      <c r="D85" s="161" t="s">
        <v>271</v>
      </c>
      <c r="E85" s="59" t="s">
        <v>235</v>
      </c>
      <c r="F85" s="59"/>
      <c r="G85" s="132">
        <v>0</v>
      </c>
      <c r="H85" s="63">
        <f>G85</f>
        <v>0</v>
      </c>
      <c r="J85" s="100"/>
    </row>
    <row r="86" spans="1:10">
      <c r="D86" s="161"/>
      <c r="E86" s="59"/>
      <c r="F86" s="59"/>
      <c r="G86" s="63"/>
      <c r="H86" s="63"/>
      <c r="J86" s="100"/>
    </row>
    <row r="87" spans="1:10" ht="29.15">
      <c r="B87" s="161" t="s">
        <v>272</v>
      </c>
      <c r="D87" s="161" t="s">
        <v>273</v>
      </c>
      <c r="E87" s="59" t="s">
        <v>269</v>
      </c>
      <c r="F87" s="59"/>
      <c r="G87" s="132">
        <v>0</v>
      </c>
      <c r="H87" s="63">
        <f>G87</f>
        <v>0</v>
      </c>
      <c r="J87" s="100"/>
    </row>
    <row r="88" spans="1:10">
      <c r="B88" s="76"/>
      <c r="C88" s="76"/>
      <c r="D88" s="57"/>
      <c r="E88" s="71"/>
      <c r="F88" s="57"/>
      <c r="G88" s="58"/>
      <c r="H88" s="58"/>
      <c r="J88" s="100"/>
    </row>
    <row r="89" spans="1:10">
      <c r="B89" s="74" t="s">
        <v>274</v>
      </c>
      <c r="C89" s="74"/>
      <c r="E89" s="56"/>
      <c r="J89" s="100"/>
    </row>
    <row r="90" spans="1:10" s="222" customFormat="1" ht="43.75">
      <c r="B90" s="251"/>
      <c r="C90" s="251"/>
      <c r="D90" s="220" t="s">
        <v>275</v>
      </c>
      <c r="E90" s="133" t="s">
        <v>276</v>
      </c>
      <c r="F90" s="133"/>
      <c r="G90" s="132">
        <v>0</v>
      </c>
      <c r="H90" s="63">
        <f>G90</f>
        <v>0</v>
      </c>
      <c r="J90" s="252"/>
    </row>
    <row r="91" spans="1:10">
      <c r="B91" s="74"/>
      <c r="C91" s="74"/>
      <c r="E91" s="56"/>
      <c r="J91" s="100"/>
    </row>
    <row r="92" spans="1:10">
      <c r="B92" s="216" t="s">
        <v>277</v>
      </c>
      <c r="C92" s="216"/>
      <c r="D92" s="436" t="str">
        <f>IF(G16="Rural","Rural Application: score out of 88 (without the Community Oriented category).","")</f>
        <v/>
      </c>
      <c r="E92" s="436"/>
      <c r="F92" s="436"/>
      <c r="G92" s="436"/>
      <c r="H92" s="306">
        <f>IF(G16="Rural",(H37+H44+H62+H72+H80+H90),(H37+H44+H62+H72+H80+H83+H85+H87+H90))</f>
        <v>0</v>
      </c>
      <c r="J92" s="100"/>
    </row>
    <row r="93" spans="1:10">
      <c r="D93" s="433" t="str">
        <f>IF(G16="Rural","Rural Application: Normalized score out of 100.","")</f>
        <v/>
      </c>
      <c r="E93" s="433"/>
      <c r="F93" s="433"/>
      <c r="G93" s="433"/>
      <c r="H93" s="306" t="str">
        <f>IF(G16="Rural",H92*100/88,"")</f>
        <v/>
      </c>
      <c r="J93" s="100"/>
    </row>
    <row r="94" spans="1:10" s="51" customFormat="1" ht="6" customHeight="1">
      <c r="B94" s="72"/>
      <c r="C94" s="72"/>
      <c r="D94"/>
      <c r="I94"/>
      <c r="J94" s="100"/>
    </row>
    <row r="95" spans="1:10" s="51" customFormat="1" ht="15.9">
      <c r="A95" s="100"/>
      <c r="B95" s="159" t="s">
        <v>278</v>
      </c>
      <c r="C95" s="73"/>
      <c r="D95" s="73"/>
      <c r="E95" s="73"/>
      <c r="F95" s="73"/>
      <c r="G95" s="73"/>
      <c r="H95" s="73"/>
      <c r="I95" s="73"/>
      <c r="J95" s="100"/>
    </row>
    <row r="96" spans="1:10" s="51" customFormat="1" ht="5.15" customHeight="1">
      <c r="A96"/>
      <c r="B96" s="240"/>
      <c r="C96" s="241"/>
      <c r="D96" s="241"/>
      <c r="E96" s="241"/>
      <c r="F96" s="241"/>
      <c r="G96" s="241"/>
      <c r="H96" s="241"/>
      <c r="I96" s="241"/>
      <c r="J96" s="100"/>
    </row>
    <row r="97" spans="2:10">
      <c r="B97" s="74" t="s">
        <v>279</v>
      </c>
      <c r="C97" s="74"/>
      <c r="D97" s="72" t="s">
        <v>280</v>
      </c>
      <c r="E97" s="72"/>
      <c r="F97" s="72"/>
      <c r="G97" s="68" t="s">
        <v>281</v>
      </c>
      <c r="I97" s="51"/>
      <c r="J97" s="100"/>
    </row>
    <row r="98" spans="2:10">
      <c r="B98" s="74"/>
      <c r="C98" s="74"/>
      <c r="D98" s="72"/>
      <c r="E98" s="72"/>
      <c r="F98" s="72"/>
      <c r="G98" s="56"/>
      <c r="I98" s="51"/>
      <c r="J98" s="100"/>
    </row>
    <row r="99" spans="2:10">
      <c r="D99" s="72" t="s">
        <v>282</v>
      </c>
      <c r="E99" s="72"/>
      <c r="F99" s="72"/>
      <c r="G99" s="247" t="str">
        <f>VLOOKUP(G97,'Market Adj. (hide)'!$A$2:$B$168,2,FALSE)</f>
        <v>Market Type 1</v>
      </c>
      <c r="I99" s="51"/>
      <c r="J99" s="100"/>
    </row>
    <row r="100" spans="2:10">
      <c r="D100" s="72"/>
      <c r="E100" s="72"/>
      <c r="F100" s="72"/>
      <c r="I100" s="51"/>
      <c r="J100" s="100"/>
    </row>
    <row r="101" spans="2:10">
      <c r="B101" s="223" t="s">
        <v>283</v>
      </c>
      <c r="C101" s="74"/>
      <c r="D101" s="72"/>
      <c r="E101" s="72"/>
      <c r="F101" s="72"/>
      <c r="G101" s="56"/>
      <c r="H101" s="56">
        <f>VLOOKUP(G99,'Lending flex scorecard (hide)'!$D$41:$E$43,2,FALSE)</f>
        <v>0</v>
      </c>
      <c r="I101" s="51"/>
      <c r="J101" s="100"/>
    </row>
    <row r="102" spans="2:10" ht="10.5" customHeight="1">
      <c r="I102" s="51"/>
      <c r="J102" s="100"/>
    </row>
    <row r="103" spans="2:10">
      <c r="B103" s="216" t="s">
        <v>201</v>
      </c>
      <c r="C103" s="216"/>
      <c r="D103" s="217"/>
      <c r="E103" s="217"/>
      <c r="F103" s="217"/>
      <c r="G103" s="224"/>
      <c r="H103" s="341"/>
      <c r="I103" s="51"/>
      <c r="J103" s="100"/>
    </row>
    <row r="104" spans="2:10">
      <c r="B104" s="74"/>
      <c r="C104" s="74"/>
      <c r="D104" s="72" t="s">
        <v>284</v>
      </c>
      <c r="E104" s="72"/>
      <c r="F104" s="72"/>
      <c r="G104" s="247" t="str">
        <f>G19</f>
        <v>Criteria A</v>
      </c>
      <c r="H104" s="309"/>
      <c r="I104" s="51"/>
      <c r="J104" s="100"/>
    </row>
    <row r="105" spans="2:10">
      <c r="B105" s="74"/>
      <c r="C105" s="74"/>
      <c r="D105" s="72"/>
      <c r="E105" s="72"/>
      <c r="F105" s="72"/>
      <c r="G105" s="56"/>
      <c r="H105" s="309"/>
      <c r="I105" s="51"/>
      <c r="J105" s="100"/>
    </row>
    <row r="106" spans="2:10" ht="14.5" customHeight="1">
      <c r="B106" s="243" t="s">
        <v>285</v>
      </c>
      <c r="C106" s="74"/>
      <c r="D106" s="55" t="s">
        <v>207</v>
      </c>
      <c r="F106" s="72"/>
      <c r="G106" s="443" t="str">
        <f>G22</f>
        <v>10 years and up to 14 years (Minimum Eligibility Requirement)</v>
      </c>
      <c r="H106" s="309"/>
      <c r="I106" s="51"/>
      <c r="J106" s="100"/>
    </row>
    <row r="107" spans="2:10">
      <c r="C107" s="74"/>
      <c r="D107" s="55" t="s">
        <v>209</v>
      </c>
      <c r="F107" s="72"/>
      <c r="G107" s="443"/>
      <c r="H107" s="309"/>
      <c r="I107" s="51"/>
      <c r="J107" s="100"/>
    </row>
    <row r="108" spans="2:10">
      <c r="C108" s="74"/>
      <c r="D108" s="55" t="s">
        <v>210</v>
      </c>
      <c r="F108" s="72"/>
      <c r="G108" s="443"/>
      <c r="H108" s="309"/>
      <c r="I108" s="51"/>
      <c r="J108" s="100"/>
    </row>
    <row r="109" spans="2:10">
      <c r="C109" s="74"/>
      <c r="D109" s="72"/>
      <c r="F109" s="72"/>
      <c r="G109" s="443"/>
      <c r="H109" s="309"/>
      <c r="I109" s="51"/>
      <c r="J109" s="100"/>
    </row>
    <row r="110" spans="2:10">
      <c r="C110" s="74"/>
      <c r="D110" s="72"/>
      <c r="F110" s="72"/>
      <c r="G110" s="56"/>
      <c r="H110" s="309"/>
      <c r="I110" s="51"/>
      <c r="J110" s="100"/>
    </row>
    <row r="111" spans="2:10" ht="29.15" customHeight="1">
      <c r="B111" s="243" t="s">
        <v>286</v>
      </c>
      <c r="C111" s="74"/>
      <c r="D111" s="55" t="s">
        <v>212</v>
      </c>
      <c r="F111" s="72"/>
      <c r="G111" s="443" t="str">
        <f>G27</f>
        <v>Rents at 30% of median income (Minimum Eligibility Requirement)</v>
      </c>
      <c r="H111" s="312">
        <f>IF(G111=D111,1, IF(G111=D112,2,IF(G111=D113,3,(IF(G111=D114,4,"")))))</f>
        <v>1</v>
      </c>
      <c r="I111" s="51"/>
      <c r="J111" s="100"/>
    </row>
    <row r="112" spans="2:10">
      <c r="C112" s="74"/>
      <c r="D112" s="55" t="s">
        <v>213</v>
      </c>
      <c r="F112" s="72"/>
      <c r="G112" s="443"/>
      <c r="H112" s="313"/>
      <c r="I112" s="51"/>
      <c r="J112" s="100"/>
    </row>
    <row r="113" spans="2:10">
      <c r="C113" s="74"/>
      <c r="D113" s="55" t="s">
        <v>214</v>
      </c>
      <c r="F113" s="72"/>
      <c r="G113" s="443"/>
      <c r="H113" s="313"/>
      <c r="I113" s="51"/>
      <c r="J113" s="100"/>
    </row>
    <row r="114" spans="2:10">
      <c r="C114" s="74"/>
      <c r="D114" s="55" t="s">
        <v>215</v>
      </c>
      <c r="F114" s="72"/>
      <c r="G114" s="443"/>
      <c r="H114" s="313"/>
      <c r="I114" s="51"/>
      <c r="J114" s="100"/>
    </row>
    <row r="115" spans="2:10">
      <c r="C115" s="74"/>
      <c r="D115" s="55"/>
      <c r="F115" s="72"/>
      <c r="G115" s="56"/>
      <c r="H115" s="313"/>
      <c r="I115" s="51"/>
      <c r="J115" s="100"/>
    </row>
    <row r="116" spans="2:10">
      <c r="C116" s="74"/>
      <c r="D116" s="55"/>
      <c r="F116" s="72"/>
      <c r="G116" s="56"/>
      <c r="H116" s="313"/>
      <c r="I116" s="51"/>
      <c r="J116" s="100"/>
    </row>
    <row r="117" spans="2:10" ht="20.25" customHeight="1">
      <c r="B117" s="243" t="s">
        <v>287</v>
      </c>
      <c r="C117" s="74"/>
      <c r="D117" s="55" t="s">
        <v>218</v>
      </c>
      <c r="F117" s="72"/>
      <c r="G117" s="443" t="str">
        <f>G33</f>
        <v>20% of total units (Minimum Eligibility Requirement)</v>
      </c>
      <c r="H117" s="312">
        <f>IF(G117=D117,1,IF(G117=D118,2,IF(G117=D119,3,"")))</f>
        <v>1</v>
      </c>
      <c r="I117" s="51"/>
      <c r="J117" s="100"/>
    </row>
    <row r="118" spans="2:10" ht="20.25" customHeight="1">
      <c r="B118" s="74"/>
      <c r="C118" s="74"/>
      <c r="D118" s="55" t="s">
        <v>219</v>
      </c>
      <c r="F118" s="72"/>
      <c r="G118" s="443"/>
      <c r="H118" s="313"/>
      <c r="I118" s="51"/>
      <c r="J118" s="100"/>
    </row>
    <row r="119" spans="2:10" ht="20.25" customHeight="1">
      <c r="B119" s="74"/>
      <c r="C119" s="74"/>
      <c r="D119" s="55" t="s">
        <v>220</v>
      </c>
      <c r="E119" s="72"/>
      <c r="F119" s="72"/>
      <c r="G119" s="443"/>
      <c r="H119" s="313"/>
      <c r="I119" s="51"/>
      <c r="J119" s="100"/>
    </row>
    <row r="120" spans="2:10">
      <c r="B120" s="74"/>
      <c r="C120" s="74"/>
      <c r="D120" s="72"/>
      <c r="E120" s="72"/>
      <c r="F120" s="72"/>
      <c r="G120"/>
      <c r="H120" s="313" cm="1">
        <f t="array" ref="H120">IF(G106=D106, INDEX('Lending flex scorecard (hide)'!B4:E6, H117,H111), IF(G106=D107, INDEX('Lending flex scorecard (hide)'!B9:E11, H117,H111), IF(G106=D108, INDEX('Lending flex scorecard (hide)'!B14:E16, H117,H111),””)))</f>
        <v>0</v>
      </c>
      <c r="I120" s="51"/>
      <c r="J120" s="100"/>
    </row>
    <row r="121" spans="2:10">
      <c r="B121" s="223" t="s">
        <v>221</v>
      </c>
      <c r="C121" s="74"/>
      <c r="D121" s="446" t="str">
        <f>IF(AND(G104="Criteria B",H120&lt;19),"Under Criteria B, the affordability score will be the greater of 19 points or the calculated score above.","")</f>
        <v/>
      </c>
      <c r="E121" s="446"/>
      <c r="F121" s="446"/>
      <c r="G121" s="446"/>
      <c r="H121" s="248">
        <f>IF(G104="Criteria A",H120,IF(H120&lt;19,19,H120))</f>
        <v>0</v>
      </c>
      <c r="I121" s="51"/>
      <c r="J121" s="100"/>
    </row>
    <row r="122" spans="2:10" ht="8.15" customHeight="1">
      <c r="I122" s="51"/>
      <c r="J122" s="100"/>
    </row>
    <row r="123" spans="2:10">
      <c r="B123" s="216" t="s">
        <v>238</v>
      </c>
      <c r="C123" s="216"/>
      <c r="D123" s="225"/>
      <c r="E123" s="225"/>
      <c r="F123" s="225"/>
      <c r="G123" s="239"/>
      <c r="H123" s="224"/>
      <c r="I123" s="51"/>
      <c r="J123" s="100"/>
    </row>
    <row r="124" spans="2:10">
      <c r="B124" s="74"/>
      <c r="C124" s="74"/>
      <c r="D124" s="72" t="s">
        <v>288</v>
      </c>
      <c r="E124" s="72"/>
      <c r="F124" s="72"/>
      <c r="G124" s="247" t="str">
        <f>G57</f>
        <v>NECB</v>
      </c>
      <c r="I124" s="51"/>
      <c r="J124" s="100"/>
    </row>
    <row r="125" spans="2:10">
      <c r="B125" s="74"/>
      <c r="C125" s="74"/>
      <c r="D125" s="72"/>
      <c r="E125" s="72"/>
      <c r="F125" s="72"/>
      <c r="G125" s="56"/>
      <c r="I125" s="51"/>
      <c r="J125" s="100"/>
    </row>
    <row r="126" spans="2:10" ht="38.15" customHeight="1">
      <c r="B126" s="74"/>
      <c r="C126" s="74"/>
      <c r="D126" s="161" t="s">
        <v>289</v>
      </c>
      <c r="E126" s="72"/>
      <c r="F126" s="72"/>
      <c r="G126" s="331" t="str">
        <f>IF(AND(G124="NECB",G62=0), D59,IF(AND(G124="NECB",G62=7),D60,IF(AND(G124="NECB",G62=14),D61,IF(AND(G124="NECB",G62=24),D62,IF(AND(G124="NBC",G62=0),"Tier 1 or 2 of the NBC",IF(AND(G124="NBC",G62=7),D65,IF(AND(G124="NBC",G62=14),D66,IF(AND(G124="NBC",G62=24),D67,""))))))))</f>
        <v>Tier 1 of the NECB</v>
      </c>
      <c r="H126"/>
      <c r="I126" s="51"/>
      <c r="J126" s="100"/>
    </row>
    <row r="127" spans="2:10">
      <c r="B127" s="74"/>
      <c r="C127" s="74"/>
      <c r="D127" s="161"/>
      <c r="E127" s="72"/>
      <c r="F127" s="72"/>
      <c r="G127" s="59"/>
      <c r="H127"/>
      <c r="I127" s="51"/>
      <c r="J127" s="100"/>
    </row>
    <row r="128" spans="2:10">
      <c r="B128" s="223" t="s">
        <v>290</v>
      </c>
      <c r="C128" s="74"/>
      <c r="D128" s="161"/>
      <c r="E128" s="72"/>
      <c r="F128" s="72"/>
      <c r="G128"/>
      <c r="H128" s="253">
        <f>IF(G62=0,0,IF(G62=7,10,IF(G62=14,20,IF(G62=24,35,""))))</f>
        <v>0</v>
      </c>
      <c r="I128" s="51"/>
      <c r="J128" s="100"/>
    </row>
    <row r="129" spans="1:10" ht="9" customHeight="1">
      <c r="C129" s="74"/>
      <c r="D129" s="72"/>
      <c r="E129" s="72"/>
      <c r="F129" s="72"/>
      <c r="G129" s="56"/>
      <c r="I129" s="51"/>
      <c r="J129" s="100"/>
    </row>
    <row r="130" spans="1:10">
      <c r="B130" s="216" t="s">
        <v>291</v>
      </c>
      <c r="C130" s="225"/>
      <c r="D130" s="225"/>
      <c r="E130" s="225"/>
      <c r="F130" s="225"/>
      <c r="G130" s="239"/>
      <c r="H130" s="254">
        <f>H101+H121+H128</f>
        <v>0</v>
      </c>
      <c r="I130" s="51"/>
      <c r="J130" s="100"/>
    </row>
    <row r="131" spans="1:10">
      <c r="B131" s="74" t="s">
        <v>292</v>
      </c>
      <c r="D131" s="72"/>
      <c r="E131" s="72"/>
      <c r="F131" s="72"/>
      <c r="G131" s="56"/>
      <c r="H131" s="248" t="str">
        <f>IF(H130&lt;47,"Tier 3",IF(H130&gt;64,"Tier 1","Tier 2"))</f>
        <v>Tier 3</v>
      </c>
      <c r="I131" s="51"/>
      <c r="J131" s="100"/>
    </row>
    <row r="132" spans="1:10">
      <c r="B132" s="74" t="s">
        <v>293</v>
      </c>
      <c r="D132" s="72"/>
      <c r="E132" s="72"/>
      <c r="F132" s="72"/>
      <c r="G132" s="56"/>
      <c r="H132" s="247" t="str">
        <f>IF(H131="Tier 1","Up to 100%",IF(H131="Tier 2", "Up to 95%",IF(H131="Tier 3", "Up to 90%","")))</f>
        <v>Up to 90%</v>
      </c>
      <c r="I132" s="51"/>
      <c r="J132" s="100"/>
    </row>
    <row r="133" spans="1:10">
      <c r="B133" s="74" t="s">
        <v>294</v>
      </c>
      <c r="D133" s="72"/>
      <c r="E133" s="72"/>
      <c r="F133" s="72"/>
      <c r="G133" s="56"/>
      <c r="H133" s="247" t="str">
        <f>IF(H131="Tier 1","Max 50 years",IF(H131="Tier 2", "Max 50 years",IF(H131="Tier 3", "Max 45 years","")))</f>
        <v>Max 45 years</v>
      </c>
      <c r="I133" s="51"/>
      <c r="J133" s="100"/>
    </row>
    <row r="134" spans="1:10">
      <c r="B134" s="74" t="s">
        <v>295</v>
      </c>
      <c r="D134" s="72"/>
      <c r="E134" s="72"/>
      <c r="F134" s="72"/>
      <c r="G134" s="56"/>
      <c r="H134" s="247" t="str">
        <f>IF(H131="Tier 1","10 or 20 year term",IF(H131="Tier 2", "10 year term",IF(H131="Tier 3", "10 year term","")))</f>
        <v>10 year term</v>
      </c>
      <c r="I134" s="51"/>
      <c r="J134" s="100"/>
    </row>
    <row r="135" spans="1:10" ht="14.5" customHeight="1">
      <c r="B135" s="74" t="s">
        <v>296</v>
      </c>
      <c r="D135" s="72"/>
      <c r="E135" s="72"/>
      <c r="F135" s="72"/>
      <c r="G135" s="56"/>
      <c r="H135" s="249" t="str">
        <f>IF(H131="Tier 1","Fund Land Equity",IF(H131="Tier 2", "N.A.",IF(H131="Tier 3", "N.A.","")))</f>
        <v>N.A.</v>
      </c>
      <c r="I135" s="51"/>
      <c r="J135" s="100"/>
    </row>
    <row r="136" spans="1:10" ht="9" customHeight="1">
      <c r="B136" s="74"/>
      <c r="H136" s="238"/>
      <c r="J136" s="100"/>
    </row>
    <row r="137" spans="1:10" ht="9.65" customHeight="1">
      <c r="A137" s="100"/>
      <c r="B137" s="159"/>
      <c r="C137" s="73"/>
      <c r="D137" s="73"/>
      <c r="E137" s="73"/>
      <c r="F137" s="73"/>
      <c r="G137" s="73"/>
      <c r="H137" s="73"/>
      <c r="I137" s="73"/>
      <c r="J137" s="100"/>
    </row>
    <row r="138" spans="1:10" ht="4.5" customHeight="1"/>
    <row r="140" spans="1:10" s="51" customFormat="1">
      <c r="A140"/>
      <c r="B140"/>
      <c r="C140" s="72"/>
    </row>
    <row r="141" spans="1:10" s="51" customFormat="1">
      <c r="A141"/>
      <c r="B141"/>
      <c r="C141" s="72"/>
    </row>
    <row r="142" spans="1:10" s="51" customFormat="1">
      <c r="B142" s="72"/>
      <c r="C142" s="72"/>
    </row>
    <row r="144" spans="1:10" s="168" customFormat="1">
      <c r="B144" s="170"/>
      <c r="C144" s="170"/>
    </row>
    <row r="145" spans="2:20" s="168" customFormat="1">
      <c r="B145" s="170"/>
      <c r="C145" s="170"/>
    </row>
    <row r="146" spans="2:20" s="168" customFormat="1" hidden="1">
      <c r="B146" s="170"/>
      <c r="C146" s="170"/>
    </row>
    <row r="147" spans="2:20" s="168" customFormat="1" hidden="1">
      <c r="B147" s="170"/>
      <c r="C147" s="170"/>
    </row>
    <row r="148" spans="2:20" s="168" customFormat="1" hidden="1">
      <c r="B148" s="170"/>
      <c r="C148" s="170"/>
    </row>
    <row r="149" spans="2:20" s="168" customFormat="1" hidden="1">
      <c r="B149" s="60"/>
      <c r="C149" s="60"/>
      <c r="D149" s="60"/>
      <c r="E149" s="442" t="s">
        <v>297</v>
      </c>
      <c r="F149" s="442"/>
      <c r="G149" s="60"/>
      <c r="H149" s="60"/>
      <c r="I149" s="60"/>
      <c r="J149" s="60"/>
      <c r="K149" s="60"/>
      <c r="L149" s="60"/>
      <c r="M149" s="60"/>
      <c r="N149" s="60"/>
      <c r="O149" s="60"/>
      <c r="P149" s="60"/>
      <c r="Q149" s="60"/>
      <c r="R149" s="60"/>
    </row>
    <row r="150" spans="2:20" s="168" customFormat="1" hidden="1">
      <c r="B150" s="302" t="s">
        <v>298</v>
      </c>
      <c r="C150" s="442" t="s">
        <v>299</v>
      </c>
      <c r="D150" s="442"/>
      <c r="E150" s="303" t="s">
        <v>300</v>
      </c>
      <c r="F150" s="303" t="s">
        <v>301</v>
      </c>
      <c r="G150" s="60"/>
      <c r="H150" s="60"/>
      <c r="I150" s="303"/>
      <c r="J150" s="303"/>
      <c r="K150" s="303"/>
      <c r="L150" s="303"/>
      <c r="M150" s="303"/>
      <c r="N150" s="303"/>
      <c r="O150" s="303"/>
      <c r="P150" s="303"/>
      <c r="Q150" s="303"/>
      <c r="R150" s="303"/>
    </row>
    <row r="151" spans="2:20" s="168" customFormat="1" hidden="1">
      <c r="B151" s="304">
        <v>3</v>
      </c>
      <c r="C151" s="445" t="s">
        <v>302</v>
      </c>
      <c r="D151" s="445"/>
      <c r="E151" s="303">
        <v>0</v>
      </c>
      <c r="F151" s="303">
        <v>46</v>
      </c>
      <c r="G151" s="60"/>
      <c r="H151" s="60"/>
      <c r="I151" s="303"/>
      <c r="J151" s="303"/>
      <c r="K151" s="303"/>
      <c r="L151" s="303"/>
      <c r="M151" s="303"/>
      <c r="N151" s="303"/>
      <c r="O151" s="303"/>
      <c r="P151" s="303"/>
      <c r="Q151" s="303"/>
      <c r="R151" s="303"/>
      <c r="S151" s="221"/>
      <c r="T151" s="221"/>
    </row>
    <row r="152" spans="2:20" s="168" customFormat="1" hidden="1">
      <c r="B152" s="304">
        <v>2</v>
      </c>
      <c r="C152" s="444" t="s">
        <v>303</v>
      </c>
      <c r="D152" s="444"/>
      <c r="E152" s="303">
        <v>47</v>
      </c>
      <c r="F152" s="303">
        <v>64</v>
      </c>
      <c r="G152" s="60"/>
      <c r="H152" s="60"/>
      <c r="I152" s="303"/>
      <c r="J152" s="303"/>
      <c r="K152" s="303"/>
      <c r="L152" s="303"/>
      <c r="M152" s="303"/>
      <c r="N152" s="303"/>
      <c r="O152" s="303"/>
      <c r="P152" s="303"/>
      <c r="Q152" s="303"/>
      <c r="R152" s="303"/>
      <c r="S152" s="221"/>
      <c r="T152" s="221"/>
    </row>
    <row r="153" spans="2:20" s="168" customFormat="1" hidden="1">
      <c r="B153" s="304">
        <v>1</v>
      </c>
      <c r="C153" s="445" t="s">
        <v>304</v>
      </c>
      <c r="D153" s="445"/>
      <c r="E153" s="303">
        <v>65</v>
      </c>
      <c r="F153" s="303">
        <v>100</v>
      </c>
      <c r="G153" s="60"/>
      <c r="H153" s="60"/>
      <c r="I153" s="60"/>
      <c r="J153" s="60"/>
      <c r="K153" s="60"/>
      <c r="L153" s="60"/>
      <c r="M153" s="60"/>
      <c r="N153" s="60"/>
      <c r="O153" s="60"/>
      <c r="P153" s="60"/>
      <c r="Q153" s="60"/>
      <c r="R153" s="60"/>
      <c r="S153" s="221"/>
      <c r="T153" s="221"/>
    </row>
    <row r="154" spans="2:20" s="168" customFormat="1" hidden="1">
      <c r="B154" s="221"/>
      <c r="C154" s="221"/>
      <c r="D154" s="221"/>
      <c r="E154" s="305"/>
      <c r="F154" s="305"/>
      <c r="G154" s="221"/>
      <c r="H154" s="221"/>
      <c r="I154" s="221"/>
      <c r="J154" s="221"/>
      <c r="K154" s="221"/>
      <c r="L154" s="221"/>
      <c r="M154" s="221"/>
      <c r="N154" s="221"/>
      <c r="O154" s="221"/>
      <c r="P154" s="221"/>
      <c r="Q154" s="221"/>
      <c r="R154" s="221"/>
      <c r="S154" s="221"/>
      <c r="T154" s="221"/>
    </row>
    <row r="155" spans="2:20" s="168" customFormat="1" hidden="1">
      <c r="B155" s="221"/>
      <c r="C155" s="439" t="str">
        <f>IF(H130&lt;E152,C151,IF(H130&lt;E153,C152,C153))</f>
        <v>Tier 3 - Up to 90% LTC, 45 yrs Am, 10 yr term</v>
      </c>
      <c r="D155" s="439"/>
      <c r="E155" s="439"/>
      <c r="F155" s="440"/>
      <c r="G155" s="221"/>
      <c r="H155" s="221"/>
      <c r="I155" s="221"/>
      <c r="J155" s="221"/>
      <c r="K155" s="221"/>
      <c r="L155" s="221"/>
      <c r="M155" s="221"/>
      <c r="N155" s="221"/>
      <c r="O155" s="221"/>
      <c r="P155" s="221"/>
      <c r="Q155" s="221"/>
      <c r="R155" s="221"/>
      <c r="S155" s="221"/>
      <c r="T155" s="221"/>
    </row>
    <row r="156" spans="2:20" hidden="1">
      <c r="B156" s="221"/>
      <c r="C156" s="221"/>
      <c r="D156" s="221">
        <v>0</v>
      </c>
      <c r="E156" s="221">
        <v>0</v>
      </c>
      <c r="F156" s="221">
        <v>0</v>
      </c>
      <c r="G156" s="221">
        <v>0</v>
      </c>
      <c r="H156" s="221">
        <v>0</v>
      </c>
      <c r="I156" s="221"/>
      <c r="J156" s="221" t="s">
        <v>305</v>
      </c>
      <c r="K156" s="221" t="s">
        <v>204</v>
      </c>
      <c r="L156" s="221" t="s">
        <v>306</v>
      </c>
      <c r="M156" s="221"/>
      <c r="N156" s="221" t="s">
        <v>242</v>
      </c>
      <c r="O156" s="221"/>
      <c r="P156" s="221" t="s">
        <v>247</v>
      </c>
      <c r="Q156" s="221"/>
      <c r="R156" s="221" t="s">
        <v>241</v>
      </c>
    </row>
    <row r="157" spans="2:20" hidden="1">
      <c r="B157" s="221"/>
      <c r="C157" s="221" t="s">
        <v>152</v>
      </c>
      <c r="D157" s="221">
        <v>6</v>
      </c>
      <c r="E157" s="221">
        <v>6</v>
      </c>
      <c r="F157" s="221">
        <v>9</v>
      </c>
      <c r="G157" s="221">
        <v>5</v>
      </c>
      <c r="H157" s="221">
        <v>7</v>
      </c>
      <c r="I157" s="221"/>
      <c r="J157" s="221" t="s">
        <v>200</v>
      </c>
      <c r="K157" s="221" t="s">
        <v>307</v>
      </c>
      <c r="L157" s="221" t="s">
        <v>308</v>
      </c>
      <c r="M157" s="221"/>
      <c r="N157" s="221" t="s">
        <v>243</v>
      </c>
      <c r="O157" s="221"/>
      <c r="P157" s="221" t="s">
        <v>248</v>
      </c>
      <c r="Q157" s="221"/>
      <c r="R157" s="221" t="s">
        <v>309</v>
      </c>
    </row>
    <row r="158" spans="2:20" hidden="1">
      <c r="B158" s="221"/>
      <c r="C158" s="221" t="s">
        <v>38</v>
      </c>
      <c r="D158" s="221">
        <v>12</v>
      </c>
      <c r="E158" s="221">
        <v>9</v>
      </c>
      <c r="F158" s="221">
        <v>12</v>
      </c>
      <c r="G158" s="221">
        <v>10</v>
      </c>
      <c r="H158" s="221">
        <v>14</v>
      </c>
      <c r="I158" s="221"/>
      <c r="J158" s="221"/>
      <c r="K158" s="221"/>
      <c r="L158" s="221"/>
      <c r="M158" s="221"/>
      <c r="N158" s="221" t="s">
        <v>244</v>
      </c>
      <c r="O158" s="221"/>
      <c r="P158" s="221" t="s">
        <v>249</v>
      </c>
      <c r="Q158" s="221"/>
      <c r="R158" s="221"/>
    </row>
    <row r="159" spans="2:20" hidden="1">
      <c r="B159" s="221"/>
      <c r="C159" s="221"/>
      <c r="D159" s="221"/>
      <c r="E159" s="221">
        <v>12</v>
      </c>
      <c r="F159" s="221"/>
      <c r="G159" s="221"/>
      <c r="H159" s="221">
        <v>24</v>
      </c>
      <c r="I159" s="221"/>
      <c r="J159" s="221"/>
      <c r="K159" s="221"/>
      <c r="L159" s="221"/>
      <c r="M159" s="221"/>
      <c r="N159" s="221" t="s">
        <v>245</v>
      </c>
      <c r="O159" s="221"/>
      <c r="P159" s="221" t="s">
        <v>250</v>
      </c>
      <c r="Q159" s="221"/>
      <c r="R159" s="221"/>
    </row>
    <row r="160" spans="2:20" hidden="1">
      <c r="B160" s="221"/>
      <c r="C160" s="221"/>
      <c r="D160" s="221"/>
      <c r="E160" s="221"/>
      <c r="F160" s="221"/>
      <c r="G160" s="221"/>
      <c r="H160" s="221"/>
      <c r="I160" s="221"/>
      <c r="J160" s="221"/>
      <c r="K160" s="221"/>
      <c r="L160" s="221"/>
      <c r="M160" s="221"/>
      <c r="N160" s="221"/>
      <c r="O160" s="221"/>
      <c r="P160" s="221" t="s">
        <v>251</v>
      </c>
      <c r="Q160" s="221"/>
      <c r="R160" s="221"/>
    </row>
    <row r="161" spans="2:12" hidden="1">
      <c r="B161" s="170"/>
      <c r="C161" s="170"/>
      <c r="D161" s="168">
        <v>0</v>
      </c>
      <c r="E161" s="168">
        <v>0</v>
      </c>
      <c r="F161" s="168">
        <v>0</v>
      </c>
      <c r="G161" s="186">
        <v>0</v>
      </c>
      <c r="H161" s="186">
        <v>0</v>
      </c>
      <c r="I161" s="168"/>
      <c r="J161" s="168"/>
      <c r="K161" s="168"/>
      <c r="L161" s="168"/>
    </row>
    <row r="162" spans="2:12" hidden="1">
      <c r="B162" s="170"/>
      <c r="C162" s="170"/>
      <c r="D162" s="168">
        <v>3</v>
      </c>
      <c r="E162" s="168">
        <v>4</v>
      </c>
      <c r="F162" s="168">
        <v>5</v>
      </c>
      <c r="G162" s="186">
        <v>2</v>
      </c>
      <c r="H162" s="186">
        <v>8</v>
      </c>
      <c r="I162" s="168"/>
      <c r="J162" s="168"/>
      <c r="K162" s="168"/>
      <c r="L162" s="168"/>
    </row>
    <row r="163" spans="2:12" hidden="1">
      <c r="B163" s="170"/>
      <c r="C163" s="170"/>
      <c r="D163" s="168">
        <v>6</v>
      </c>
      <c r="E163" s="168"/>
      <c r="F163" s="168"/>
      <c r="G163" s="186"/>
      <c r="H163" s="186"/>
      <c r="I163" s="168"/>
      <c r="J163" s="168"/>
      <c r="K163" s="168"/>
      <c r="L163" s="168"/>
    </row>
    <row r="164" spans="2:12">
      <c r="B164" s="170"/>
      <c r="C164" s="170"/>
      <c r="D164" s="168"/>
      <c r="E164" s="168"/>
      <c r="F164" s="168"/>
      <c r="G164" s="186"/>
      <c r="H164" s="186"/>
      <c r="I164" s="168"/>
      <c r="J164" s="168"/>
      <c r="K164" s="168"/>
      <c r="L164" s="168"/>
    </row>
    <row r="165" spans="2:12">
      <c r="B165" s="170"/>
      <c r="C165" s="170"/>
      <c r="D165" s="168"/>
      <c r="E165" s="168"/>
      <c r="F165" s="168"/>
      <c r="G165" s="186"/>
      <c r="H165" s="186"/>
      <c r="I165" s="168"/>
      <c r="J165" s="168"/>
      <c r="K165" s="168"/>
      <c r="L165" s="168"/>
    </row>
    <row r="166" spans="2:12">
      <c r="B166" s="170"/>
      <c r="C166" s="170"/>
      <c r="D166" s="168"/>
      <c r="E166" s="168"/>
      <c r="F166" s="168"/>
      <c r="G166" s="186"/>
      <c r="H166" s="186"/>
      <c r="I166" s="168"/>
      <c r="J166" s="168"/>
      <c r="K166" s="168"/>
      <c r="L166" s="168"/>
    </row>
  </sheetData>
  <sheetProtection algorithmName="SHA-512" hashValue="sE363Pgn732MH9uhLSpe1WFmkej0XhoeAgakGNF17H+eteY7v9mdOjjycrba1UcGxMi4UsDPE4/MAcq1XPbVwA==" saltValue="Y5btEEr6ga73qDbuXsHGCg==" spinCount="100000" sheet="1" selectLockedCells="1"/>
  <mergeCells count="31">
    <mergeCell ref="E9:H9"/>
    <mergeCell ref="H23:H25"/>
    <mergeCell ref="F28:F30"/>
    <mergeCell ref="H28:H30"/>
    <mergeCell ref="G33:G35"/>
    <mergeCell ref="H33:H35"/>
    <mergeCell ref="G27:G30"/>
    <mergeCell ref="C155:F155"/>
    <mergeCell ref="H44:H45"/>
    <mergeCell ref="G62:G64"/>
    <mergeCell ref="G44:G45"/>
    <mergeCell ref="E149:F149"/>
    <mergeCell ref="H62:H64"/>
    <mergeCell ref="G72:G73"/>
    <mergeCell ref="H72:H73"/>
    <mergeCell ref="G111:G114"/>
    <mergeCell ref="C152:D152"/>
    <mergeCell ref="C153:D153"/>
    <mergeCell ref="C150:D150"/>
    <mergeCell ref="C151:D151"/>
    <mergeCell ref="D121:G121"/>
    <mergeCell ref="G106:G109"/>
    <mergeCell ref="G117:G119"/>
    <mergeCell ref="D93:G93"/>
    <mergeCell ref="E71:E76"/>
    <mergeCell ref="D92:G92"/>
    <mergeCell ref="F71:F76"/>
    <mergeCell ref="F23:F25"/>
    <mergeCell ref="F33:F35"/>
    <mergeCell ref="G22:G25"/>
    <mergeCell ref="D37:G37"/>
  </mergeCells>
  <dataValidations count="14">
    <dataValidation type="list" allowBlank="1" showInputMessage="1" showErrorMessage="1" sqref="G33:G35" xr:uid="{31CCBB28-3807-46B8-A153-08FACC163CF8}">
      <formula1>$D$33:$D$35</formula1>
    </dataValidation>
    <dataValidation type="list" allowBlank="1" showInputMessage="1" showErrorMessage="1" sqref="G16" xr:uid="{B0174E59-6D38-4060-B669-36C15637AF19}">
      <formula1>$J$156:$J$157</formula1>
    </dataValidation>
    <dataValidation type="list" allowBlank="1" showInputMessage="1" showErrorMessage="1" sqref="G22:G25" xr:uid="{A9C88574-E06E-4EFB-8FE3-1C3FD14B4286}">
      <formula1>$D$22:$D$24</formula1>
    </dataValidation>
    <dataValidation type="list" allowBlank="1" showInputMessage="1" showErrorMessage="1" sqref="G90" xr:uid="{AAF589B8-06CB-435E-ABCB-B73B382E8EDA}">
      <formula1>$H$161:$H$162</formula1>
    </dataValidation>
    <dataValidation type="list" allowBlank="1" showInputMessage="1" showErrorMessage="1" sqref="G19" xr:uid="{8A396EBD-EBC5-4AC6-8923-53366841C253}">
      <formula1>$K$156:$K$157</formula1>
    </dataValidation>
    <dataValidation type="list" allowBlank="1" showInputMessage="1" showErrorMessage="1" sqref="G57" xr:uid="{D7A6C9E7-AE5F-412E-A4B0-4BDE21D0DE31}">
      <formula1>$R$156:$R$157</formula1>
    </dataValidation>
    <dataValidation type="list" allowBlank="1" showInputMessage="1" showErrorMessage="1" sqref="G52 G54" xr:uid="{99F26BC1-A3EE-4DF1-919A-1317247715F8}">
      <formula1>$E$155:$E$157</formula1>
    </dataValidation>
    <dataValidation type="list" allowBlank="1" showInputMessage="1" showErrorMessage="1" sqref="G62:G64" xr:uid="{CE3467BE-A00D-4566-A7A6-E39469417C69}">
      <formula1>$H$156:$H$159</formula1>
    </dataValidation>
    <dataValidation type="list" allowBlank="1" showInputMessage="1" showErrorMessage="1" sqref="G44:G45" xr:uid="{4E078B85-45B1-48DD-9ACC-6E60F763EDE2}">
      <formula1>$G$156:$G$158</formula1>
    </dataValidation>
    <dataValidation type="list" allowBlank="1" showInputMessage="1" showErrorMessage="1" sqref="G72:G73" xr:uid="{174A6196-262A-455D-B18F-FCAEEC41B77E}">
      <formula1>$D$161:$D$163</formula1>
    </dataValidation>
    <dataValidation type="list" allowBlank="1" showInputMessage="1" showErrorMessage="1" sqref="G80" xr:uid="{E28EAAEF-58E4-4E10-ABAE-B85B92C820EA}">
      <formula1>$E$161:$E$162</formula1>
    </dataValidation>
    <dataValidation type="list" allowBlank="1" showInputMessage="1" showErrorMessage="1" sqref="G83 G87" xr:uid="{74256DA9-01F3-42ED-9FF7-1325BEDC3A2C}">
      <formula1>$F$161:$F$162</formula1>
    </dataValidation>
    <dataValidation type="list" allowBlank="1" showInputMessage="1" showErrorMessage="1" sqref="G85" xr:uid="{3E159305-D754-41DF-85BE-EE6AB4F8E61E}">
      <formula1>$G$161:$G$162</formula1>
    </dataValidation>
    <dataValidation type="list" allowBlank="1" showInputMessage="1" showErrorMessage="1" sqref="G27:G30" xr:uid="{136ABEF8-EEC7-44F4-AFBB-C9EA01881159}">
      <formula1>$D$27:$D$30</formula1>
    </dataValidation>
  </dataValidations>
  <pageMargins left="0.70866141732283472" right="0.70866141732283472" top="0.74803149606299213" bottom="0.74803149606299213" header="0.31496062992125984" footer="0.31496062992125984"/>
  <pageSetup scale="45" fitToHeight="0" orientation="portrait" r:id="rId1"/>
  <headerFooter>
    <oddHeader>&amp;C&amp;"Calibri"&amp;10&amp;K000000 Unclassified-Non classifié&amp;1#_x000D_</oddHeader>
    <oddFooter>&amp;C_x000D_&amp;1#&amp;"Calibri"&amp;10&amp;K000000 Unclassified-Non classifié</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B1923435-9E56-4865-AC11-9B61AFF9CA46}">
          <x14:formula1>
            <xm:f>'Market Adj. (hide)'!$A$2:$A$168</xm:f>
          </x14:formula1>
          <xm:sqref>G97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417EE-5C82-4120-B7CF-DA65E434B3C9}">
  <dimension ref="B1:I163"/>
  <sheetViews>
    <sheetView showGridLines="0" topLeftCell="A20" zoomScale="90" zoomScaleNormal="90" workbookViewId="0">
      <selection activeCell="K35" sqref="K35"/>
    </sheetView>
  </sheetViews>
  <sheetFormatPr defaultRowHeight="14.6"/>
  <cols>
    <col min="1" max="1" width="1.53515625" customWidth="1"/>
    <col min="2" max="2" width="19.23046875" customWidth="1"/>
    <col min="3" max="6" width="12.53515625" customWidth="1"/>
    <col min="7" max="7" width="0.69140625" customWidth="1"/>
    <col min="8" max="8" width="19.23046875" customWidth="1"/>
    <col min="9" max="9" width="12.53515625" customWidth="1"/>
    <col min="10" max="10" width="0.84375" customWidth="1"/>
    <col min="11" max="12" width="12.53515625" customWidth="1"/>
  </cols>
  <sheetData>
    <row r="1" spans="2:9" ht="7.5" customHeight="1" thickBot="1"/>
    <row r="2" spans="2:9" ht="15.9">
      <c r="B2" s="453" t="s">
        <v>310</v>
      </c>
      <c r="C2" s="454"/>
      <c r="D2" s="454"/>
      <c r="E2" s="454"/>
      <c r="F2" s="454"/>
      <c r="G2" s="454"/>
      <c r="H2" s="454"/>
      <c r="I2" s="455"/>
    </row>
    <row r="3" spans="2:9" ht="26.15" thickBot="1">
      <c r="B3" s="334" t="s">
        <v>311</v>
      </c>
      <c r="C3" s="355" t="s">
        <v>312</v>
      </c>
      <c r="D3" s="355" t="s">
        <v>313</v>
      </c>
      <c r="E3" s="355" t="s">
        <v>314</v>
      </c>
      <c r="F3" s="355" t="s">
        <v>315</v>
      </c>
      <c r="H3" s="334" t="s">
        <v>307</v>
      </c>
      <c r="I3" s="355" t="s">
        <v>316</v>
      </c>
    </row>
    <row r="4" spans="2:9" ht="30" customHeight="1" thickBot="1">
      <c r="B4" s="334" t="s">
        <v>317</v>
      </c>
      <c r="C4" s="335">
        <v>0</v>
      </c>
      <c r="D4" s="335">
        <v>5</v>
      </c>
      <c r="E4" s="335">
        <v>10</v>
      </c>
      <c r="F4" s="335">
        <v>16</v>
      </c>
      <c r="H4" s="334" t="s">
        <v>318</v>
      </c>
      <c r="I4" s="335">
        <v>11</v>
      </c>
    </row>
    <row r="5" spans="2:9" ht="15" thickBot="1">
      <c r="B5" s="334" t="s">
        <v>319</v>
      </c>
      <c r="C5" s="335">
        <v>1</v>
      </c>
      <c r="D5" s="335">
        <v>7</v>
      </c>
      <c r="E5" s="335">
        <v>13</v>
      </c>
      <c r="F5" s="335">
        <v>20</v>
      </c>
      <c r="I5" s="385"/>
    </row>
    <row r="6" spans="2:9" ht="15" thickBot="1">
      <c r="B6" s="334" t="s">
        <v>320</v>
      </c>
      <c r="C6" s="335">
        <v>2</v>
      </c>
      <c r="D6" s="335">
        <v>9</v>
      </c>
      <c r="E6" s="335">
        <v>16</v>
      </c>
      <c r="F6" s="335">
        <v>24</v>
      </c>
      <c r="I6" s="385"/>
    </row>
    <row r="7" spans="2:9" ht="5.25" customHeight="1" thickBot="1">
      <c r="B7" s="386"/>
      <c r="C7" s="336"/>
      <c r="D7" s="336"/>
      <c r="E7" s="336"/>
      <c r="F7" s="336"/>
      <c r="I7" s="385"/>
    </row>
    <row r="8" spans="2:9" ht="26.15" thickBot="1">
      <c r="B8" s="332" t="s">
        <v>321</v>
      </c>
      <c r="C8" s="333" t="s">
        <v>312</v>
      </c>
      <c r="D8" s="333" t="s">
        <v>313</v>
      </c>
      <c r="E8" s="333" t="s">
        <v>314</v>
      </c>
      <c r="F8" s="333" t="s">
        <v>315</v>
      </c>
      <c r="I8" s="385"/>
    </row>
    <row r="9" spans="2:9" ht="15" thickBot="1">
      <c r="B9" s="334" t="s">
        <v>317</v>
      </c>
      <c r="C9" s="335">
        <v>1</v>
      </c>
      <c r="D9" s="335">
        <v>7</v>
      </c>
      <c r="E9" s="335">
        <v>13</v>
      </c>
      <c r="F9" s="335">
        <v>20</v>
      </c>
      <c r="I9" s="385"/>
    </row>
    <row r="10" spans="2:9" ht="15" thickBot="1">
      <c r="B10" s="334" t="s">
        <v>319</v>
      </c>
      <c r="C10" s="335">
        <v>2</v>
      </c>
      <c r="D10" s="335">
        <v>9</v>
      </c>
      <c r="E10" s="335">
        <v>16</v>
      </c>
      <c r="F10" s="335">
        <v>24</v>
      </c>
      <c r="I10" s="385"/>
    </row>
    <row r="11" spans="2:9" ht="15" thickBot="1">
      <c r="B11" s="334" t="s">
        <v>320</v>
      </c>
      <c r="C11" s="335">
        <v>4</v>
      </c>
      <c r="D11" s="335">
        <v>12</v>
      </c>
      <c r="E11" s="335">
        <v>20</v>
      </c>
      <c r="F11" s="335">
        <v>29</v>
      </c>
      <c r="I11" s="385"/>
    </row>
    <row r="12" spans="2:9" ht="5.25" customHeight="1" thickBot="1">
      <c r="B12" s="386"/>
      <c r="C12" s="336"/>
      <c r="D12" s="336"/>
      <c r="E12" s="336"/>
      <c r="F12" s="336"/>
      <c r="I12" s="385"/>
    </row>
    <row r="13" spans="2:9" ht="26.15" thickBot="1">
      <c r="B13" s="332" t="s">
        <v>322</v>
      </c>
      <c r="C13" s="333" t="s">
        <v>312</v>
      </c>
      <c r="D13" s="333" t="s">
        <v>313</v>
      </c>
      <c r="E13" s="333" t="s">
        <v>314</v>
      </c>
      <c r="F13" s="333" t="s">
        <v>315</v>
      </c>
      <c r="I13" s="385"/>
    </row>
    <row r="14" spans="2:9" ht="15" thickBot="1">
      <c r="B14" s="334" t="s">
        <v>317</v>
      </c>
      <c r="C14" s="335">
        <v>2</v>
      </c>
      <c r="D14" s="335">
        <v>9</v>
      </c>
      <c r="E14" s="335">
        <v>16</v>
      </c>
      <c r="F14" s="335">
        <v>23</v>
      </c>
      <c r="I14" s="385"/>
    </row>
    <row r="15" spans="2:9" ht="15" thickBot="1">
      <c r="B15" s="334" t="s">
        <v>319</v>
      </c>
      <c r="C15" s="335">
        <v>4</v>
      </c>
      <c r="D15" s="335">
        <v>11</v>
      </c>
      <c r="E15" s="335">
        <v>20</v>
      </c>
      <c r="F15" s="335">
        <v>29</v>
      </c>
      <c r="I15" s="385"/>
    </row>
    <row r="16" spans="2:9" ht="15" thickBot="1">
      <c r="B16" s="334" t="s">
        <v>320</v>
      </c>
      <c r="C16" s="335">
        <v>5</v>
      </c>
      <c r="D16" s="335">
        <v>13</v>
      </c>
      <c r="E16" s="335">
        <v>23</v>
      </c>
      <c r="F16" s="335">
        <v>36</v>
      </c>
      <c r="G16" s="387"/>
      <c r="H16" s="387"/>
      <c r="I16" s="388"/>
    </row>
    <row r="17" spans="2:9" ht="19.5" customHeight="1" thickBot="1"/>
    <row r="18" spans="2:9" ht="15.9">
      <c r="B18" s="456" t="s">
        <v>323</v>
      </c>
      <c r="C18" s="457"/>
      <c r="D18" s="457"/>
      <c r="E18" s="457"/>
      <c r="F18" s="457"/>
      <c r="G18" s="457"/>
      <c r="H18" s="457"/>
      <c r="I18" s="458"/>
    </row>
    <row r="19" spans="2:9" ht="26.15" thickBot="1">
      <c r="B19" s="334" t="s">
        <v>311</v>
      </c>
      <c r="C19" s="355" t="s">
        <v>312</v>
      </c>
      <c r="D19" s="355" t="s">
        <v>313</v>
      </c>
      <c r="E19" s="355" t="s">
        <v>314</v>
      </c>
      <c r="F19" s="355" t="s">
        <v>315</v>
      </c>
      <c r="H19" s="334" t="s">
        <v>307</v>
      </c>
      <c r="I19" s="355" t="s">
        <v>316</v>
      </c>
    </row>
    <row r="20" spans="2:9" ht="30.75" customHeight="1" thickBot="1">
      <c r="B20" s="334" t="s">
        <v>317</v>
      </c>
      <c r="C20" s="335">
        <v>0</v>
      </c>
      <c r="D20" s="335">
        <v>8</v>
      </c>
      <c r="E20" s="335">
        <v>18</v>
      </c>
      <c r="F20" s="335">
        <v>30</v>
      </c>
      <c r="H20" s="332" t="s">
        <v>318</v>
      </c>
      <c r="I20" s="332">
        <v>19</v>
      </c>
    </row>
    <row r="21" spans="2:9" ht="15" thickBot="1">
      <c r="B21" s="334" t="s">
        <v>319</v>
      </c>
      <c r="C21" s="335">
        <v>2</v>
      </c>
      <c r="D21" s="335">
        <v>12</v>
      </c>
      <c r="E21" s="335">
        <v>25</v>
      </c>
      <c r="F21" s="335">
        <v>40</v>
      </c>
      <c r="H21" s="459"/>
      <c r="I21" s="460"/>
    </row>
    <row r="22" spans="2:9" ht="15" thickBot="1">
      <c r="B22" s="334" t="s">
        <v>320</v>
      </c>
      <c r="C22" s="335">
        <v>4</v>
      </c>
      <c r="D22" s="335">
        <v>16</v>
      </c>
      <c r="E22" s="335">
        <v>31</v>
      </c>
      <c r="F22" s="335">
        <v>49</v>
      </c>
      <c r="H22" s="459"/>
      <c r="I22" s="460"/>
    </row>
    <row r="23" spans="2:9" ht="5.25" customHeight="1" thickBot="1">
      <c r="B23" s="389"/>
      <c r="H23" s="459"/>
      <c r="I23" s="460"/>
    </row>
    <row r="24" spans="2:9" ht="30.75" customHeight="1" thickBot="1">
      <c r="B24" s="332" t="s">
        <v>321</v>
      </c>
      <c r="C24" s="333" t="s">
        <v>312</v>
      </c>
      <c r="D24" s="333" t="s">
        <v>313</v>
      </c>
      <c r="E24" s="333" t="s">
        <v>314</v>
      </c>
      <c r="F24" s="333" t="s">
        <v>315</v>
      </c>
      <c r="H24" s="459"/>
      <c r="I24" s="460"/>
    </row>
    <row r="25" spans="2:9" ht="15" thickBot="1">
      <c r="B25" s="334" t="s">
        <v>317</v>
      </c>
      <c r="C25" s="335">
        <v>2</v>
      </c>
      <c r="D25" s="335">
        <v>11</v>
      </c>
      <c r="E25" s="335">
        <v>22</v>
      </c>
      <c r="F25" s="335">
        <v>36</v>
      </c>
      <c r="H25" s="459"/>
      <c r="I25" s="460"/>
    </row>
    <row r="26" spans="2:9" ht="15" thickBot="1">
      <c r="B26" s="334" t="s">
        <v>319</v>
      </c>
      <c r="C26" s="335">
        <v>4</v>
      </c>
      <c r="D26" s="335">
        <v>16</v>
      </c>
      <c r="E26" s="335">
        <v>30</v>
      </c>
      <c r="F26" s="335">
        <v>47</v>
      </c>
      <c r="H26" s="459"/>
      <c r="I26" s="460"/>
    </row>
    <row r="27" spans="2:9" ht="15" thickBot="1">
      <c r="B27" s="334" t="s">
        <v>320</v>
      </c>
      <c r="C27" s="335">
        <v>7</v>
      </c>
      <c r="D27" s="335">
        <v>20</v>
      </c>
      <c r="E27" s="335">
        <v>37</v>
      </c>
      <c r="F27" s="335">
        <v>57</v>
      </c>
      <c r="H27" s="459"/>
      <c r="I27" s="460"/>
    </row>
    <row r="28" spans="2:9" ht="5.25" customHeight="1" thickBot="1">
      <c r="B28" s="390"/>
      <c r="H28" s="459"/>
      <c r="I28" s="460"/>
    </row>
    <row r="29" spans="2:9" ht="25.75">
      <c r="B29" s="332" t="s">
        <v>324</v>
      </c>
      <c r="C29" s="333" t="s">
        <v>312</v>
      </c>
      <c r="D29" s="333" t="s">
        <v>313</v>
      </c>
      <c r="E29" s="333" t="s">
        <v>314</v>
      </c>
      <c r="F29" s="333" t="s">
        <v>315</v>
      </c>
      <c r="H29" s="459"/>
      <c r="I29" s="460"/>
    </row>
    <row r="30" spans="2:9" ht="15" thickBot="1">
      <c r="B30" s="334" t="s">
        <v>317</v>
      </c>
      <c r="C30" s="335">
        <v>4</v>
      </c>
      <c r="D30" s="335">
        <v>14</v>
      </c>
      <c r="E30" s="335">
        <v>27</v>
      </c>
      <c r="F30" s="335">
        <v>42</v>
      </c>
      <c r="H30" s="459"/>
      <c r="I30" s="460"/>
    </row>
    <row r="31" spans="2:9" ht="15" thickBot="1">
      <c r="B31" s="334" t="s">
        <v>319</v>
      </c>
      <c r="C31" s="335">
        <v>7</v>
      </c>
      <c r="D31" s="335">
        <v>19</v>
      </c>
      <c r="E31" s="335">
        <v>35</v>
      </c>
      <c r="F31" s="335">
        <v>54</v>
      </c>
      <c r="H31" s="459"/>
      <c r="I31" s="460"/>
    </row>
    <row r="32" spans="2:9">
      <c r="B32" s="334" t="s">
        <v>320</v>
      </c>
      <c r="C32" s="335">
        <v>9</v>
      </c>
      <c r="D32" s="335">
        <v>24</v>
      </c>
      <c r="E32" s="335">
        <v>43</v>
      </c>
      <c r="F32" s="335">
        <v>65</v>
      </c>
      <c r="G32" s="387"/>
      <c r="H32" s="461"/>
      <c r="I32" s="462"/>
    </row>
    <row r="34" spans="2:5" ht="14.5" customHeight="1">
      <c r="B34" s="463" t="s">
        <v>325</v>
      </c>
      <c r="C34" s="464"/>
      <c r="D34" s="464"/>
      <c r="E34" s="465"/>
    </row>
    <row r="35" spans="2:5">
      <c r="B35" s="449" t="s">
        <v>326</v>
      </c>
      <c r="C35" s="450"/>
      <c r="D35" s="450"/>
      <c r="E35" s="391" t="s">
        <v>196</v>
      </c>
    </row>
    <row r="36" spans="2:5">
      <c r="B36" s="451" t="s">
        <v>327</v>
      </c>
      <c r="C36" s="452"/>
      <c r="D36" s="452"/>
      <c r="E36" s="392">
        <v>0</v>
      </c>
    </row>
    <row r="37" spans="2:5">
      <c r="B37" s="393" t="s">
        <v>328</v>
      </c>
      <c r="C37" s="394"/>
      <c r="D37" s="395"/>
      <c r="E37" s="396">
        <v>10</v>
      </c>
    </row>
    <row r="38" spans="2:5">
      <c r="B38" s="393" t="s">
        <v>329</v>
      </c>
      <c r="C38" s="394"/>
      <c r="D38" s="395"/>
      <c r="E38" s="396">
        <v>20</v>
      </c>
    </row>
    <row r="39" spans="2:5">
      <c r="B39" s="397" t="s">
        <v>330</v>
      </c>
      <c r="C39" s="398"/>
      <c r="D39" s="399"/>
      <c r="E39" s="400">
        <v>35</v>
      </c>
    </row>
    <row r="40" spans="2:5">
      <c r="B40" s="449" t="s">
        <v>331</v>
      </c>
      <c r="C40" s="450"/>
      <c r="D40" s="470"/>
      <c r="E40" s="391" t="s">
        <v>196</v>
      </c>
    </row>
    <row r="41" spans="2:5">
      <c r="B41" s="451" t="s">
        <v>332</v>
      </c>
      <c r="C41" s="452"/>
      <c r="D41" s="452"/>
      <c r="E41" s="392">
        <v>0</v>
      </c>
    </row>
    <row r="42" spans="2:5">
      <c r="B42" s="466" t="s">
        <v>333</v>
      </c>
      <c r="C42" s="467"/>
      <c r="D42" s="467"/>
      <c r="E42" s="396">
        <v>0</v>
      </c>
    </row>
    <row r="43" spans="2:5">
      <c r="B43" s="466" t="s">
        <v>334</v>
      </c>
      <c r="C43" s="467"/>
      <c r="D43" s="467"/>
      <c r="E43" s="396">
        <v>10</v>
      </c>
    </row>
    <row r="44" spans="2:5">
      <c r="B44" s="466" t="s">
        <v>335</v>
      </c>
      <c r="C44" s="467"/>
      <c r="D44" s="467"/>
      <c r="E44" s="396">
        <v>20</v>
      </c>
    </row>
    <row r="45" spans="2:5">
      <c r="B45" s="468" t="s">
        <v>336</v>
      </c>
      <c r="C45" s="469"/>
      <c r="D45" s="469"/>
      <c r="E45" s="401">
        <v>35</v>
      </c>
    </row>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sheetData>
  <sheetProtection algorithmName="SHA-512" hashValue="jQ5OKW1eJZNc8eEoCUbawWYPWdWVgAnxLcuVuqbB4GciahMHM5hfTkKs/l6pn0klX5ACBApxdW5+ETELbJWFGw==" saltValue="Y/Bvl+E8U3S+/TEkr47OhQ==" spinCount="100000" sheet="1" objects="1" scenarios="1" selectLockedCells="1"/>
  <mergeCells count="12">
    <mergeCell ref="B42:D42"/>
    <mergeCell ref="B43:D43"/>
    <mergeCell ref="B44:D44"/>
    <mergeCell ref="B45:D45"/>
    <mergeCell ref="B40:D40"/>
    <mergeCell ref="B35:D35"/>
    <mergeCell ref="B36:D36"/>
    <mergeCell ref="B41:D41"/>
    <mergeCell ref="B2:I2"/>
    <mergeCell ref="B18:I18"/>
    <mergeCell ref="H21:I32"/>
    <mergeCell ref="B34:E3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1B62-DFBF-4769-8293-28BFE49EDCB7}">
  <dimension ref="A2:F49"/>
  <sheetViews>
    <sheetView showGridLines="0" workbookViewId="0">
      <selection activeCell="G45" sqref="G45"/>
    </sheetView>
  </sheetViews>
  <sheetFormatPr defaultRowHeight="14.6"/>
  <cols>
    <col min="1" max="1" width="39.4609375" customWidth="1"/>
    <col min="2" max="3" width="12.53515625" customWidth="1"/>
    <col min="4" max="4" width="15.23046875" customWidth="1"/>
    <col min="5" max="5" width="12.53515625" customWidth="1"/>
    <col min="7" max="7" width="32.69140625" customWidth="1"/>
    <col min="10" max="10" width="27.15234375" customWidth="1"/>
  </cols>
  <sheetData>
    <row r="2" spans="1:5">
      <c r="A2" s="475" t="s">
        <v>323</v>
      </c>
      <c r="B2" s="476"/>
      <c r="C2" s="476"/>
      <c r="D2" s="476"/>
      <c r="E2" s="477"/>
    </row>
    <row r="3" spans="1:5" ht="26.15" thickBot="1">
      <c r="A3" s="334" t="s">
        <v>311</v>
      </c>
      <c r="B3" s="355" t="s">
        <v>312</v>
      </c>
      <c r="C3" s="355" t="s">
        <v>313</v>
      </c>
      <c r="D3" s="355" t="s">
        <v>314</v>
      </c>
      <c r="E3" s="355" t="s">
        <v>315</v>
      </c>
    </row>
    <row r="4" spans="1:5" ht="25.5" customHeight="1" thickBot="1">
      <c r="A4" s="334" t="s">
        <v>317</v>
      </c>
      <c r="B4" s="335">
        <v>0</v>
      </c>
      <c r="C4" s="335">
        <v>8</v>
      </c>
      <c r="D4" s="335">
        <v>18</v>
      </c>
      <c r="E4" s="335">
        <v>30</v>
      </c>
    </row>
    <row r="5" spans="1:5" ht="15" thickBot="1">
      <c r="A5" s="334" t="s">
        <v>319</v>
      </c>
      <c r="B5" s="335">
        <v>2</v>
      </c>
      <c r="C5" s="335">
        <v>12</v>
      </c>
      <c r="D5" s="335">
        <v>25</v>
      </c>
      <c r="E5" s="335">
        <v>40</v>
      </c>
    </row>
    <row r="6" spans="1:5" ht="15" thickBot="1">
      <c r="A6" s="334" t="s">
        <v>320</v>
      </c>
      <c r="B6" s="335">
        <v>4</v>
      </c>
      <c r="C6" s="335">
        <v>16</v>
      </c>
      <c r="D6" s="335">
        <v>31</v>
      </c>
      <c r="E6" s="335">
        <v>49</v>
      </c>
    </row>
    <row r="7" spans="1:5" ht="6" customHeight="1" thickBot="1">
      <c r="A7" s="67"/>
    </row>
    <row r="8" spans="1:5" ht="26.15" thickBot="1">
      <c r="A8" s="332" t="s">
        <v>321</v>
      </c>
      <c r="B8" s="333" t="s">
        <v>312</v>
      </c>
      <c r="C8" s="333" t="s">
        <v>313</v>
      </c>
      <c r="D8" s="333" t="s">
        <v>314</v>
      </c>
      <c r="E8" s="333" t="s">
        <v>315</v>
      </c>
    </row>
    <row r="9" spans="1:5" ht="15" thickBot="1">
      <c r="A9" s="334" t="s">
        <v>317</v>
      </c>
      <c r="B9" s="335">
        <v>2</v>
      </c>
      <c r="C9" s="335">
        <v>11</v>
      </c>
      <c r="D9" s="335">
        <v>22</v>
      </c>
      <c r="E9" s="335">
        <v>36</v>
      </c>
    </row>
    <row r="10" spans="1:5" ht="15" thickBot="1">
      <c r="A10" s="334" t="s">
        <v>319</v>
      </c>
      <c r="B10" s="335">
        <v>4</v>
      </c>
      <c r="C10" s="335">
        <v>16</v>
      </c>
      <c r="D10" s="335">
        <v>30</v>
      </c>
      <c r="E10" s="335">
        <v>47</v>
      </c>
    </row>
    <row r="11" spans="1:5" ht="25.5" customHeight="1" thickBot="1">
      <c r="A11" s="334" t="s">
        <v>320</v>
      </c>
      <c r="B11" s="335">
        <v>7</v>
      </c>
      <c r="C11" s="335">
        <v>20</v>
      </c>
      <c r="D11" s="335">
        <v>37</v>
      </c>
      <c r="E11" s="335">
        <v>57</v>
      </c>
    </row>
    <row r="12" spans="1:5" ht="6" customHeight="1" thickBot="1"/>
    <row r="13" spans="1:5" ht="26.15" thickBot="1">
      <c r="A13" s="332" t="s">
        <v>322</v>
      </c>
      <c r="B13" s="333" t="s">
        <v>312</v>
      </c>
      <c r="C13" s="333" t="s">
        <v>313</v>
      </c>
      <c r="D13" s="333" t="s">
        <v>314</v>
      </c>
      <c r="E13" s="333" t="s">
        <v>315</v>
      </c>
    </row>
    <row r="14" spans="1:5" ht="15" thickBot="1">
      <c r="A14" s="334" t="s">
        <v>317</v>
      </c>
      <c r="B14" s="335">
        <v>4</v>
      </c>
      <c r="C14" s="335">
        <v>14</v>
      </c>
      <c r="D14" s="335">
        <v>27</v>
      </c>
      <c r="E14" s="335">
        <v>42</v>
      </c>
    </row>
    <row r="15" spans="1:5" ht="15" thickBot="1">
      <c r="A15" s="334" t="s">
        <v>319</v>
      </c>
      <c r="B15" s="335">
        <v>7</v>
      </c>
      <c r="C15" s="335">
        <v>19</v>
      </c>
      <c r="D15" s="335">
        <v>35</v>
      </c>
      <c r="E15" s="335">
        <v>54</v>
      </c>
    </row>
    <row r="16" spans="1:5" ht="15" thickBot="1">
      <c r="A16" s="334" t="s">
        <v>320</v>
      </c>
      <c r="B16" s="335">
        <v>9</v>
      </c>
      <c r="C16" s="335">
        <v>24</v>
      </c>
      <c r="D16" s="335">
        <v>43</v>
      </c>
      <c r="E16" s="335">
        <v>65</v>
      </c>
    </row>
    <row r="18" spans="1:6">
      <c r="A18" s="472" t="s">
        <v>310</v>
      </c>
      <c r="B18" s="473"/>
      <c r="C18" s="473"/>
      <c r="D18" s="473"/>
      <c r="E18" s="474"/>
    </row>
    <row r="19" spans="1:6" ht="26.15" thickBot="1">
      <c r="A19" s="334" t="s">
        <v>311</v>
      </c>
      <c r="B19" s="355" t="s">
        <v>312</v>
      </c>
      <c r="C19" s="355" t="s">
        <v>313</v>
      </c>
      <c r="D19" s="355" t="s">
        <v>314</v>
      </c>
      <c r="E19" s="355" t="s">
        <v>315</v>
      </c>
    </row>
    <row r="20" spans="1:6" ht="15" thickBot="1">
      <c r="A20" s="334" t="s">
        <v>317</v>
      </c>
      <c r="B20" s="335">
        <v>0</v>
      </c>
      <c r="C20" s="335">
        <v>5</v>
      </c>
      <c r="D20" s="335">
        <v>10</v>
      </c>
      <c r="E20" s="335">
        <v>16</v>
      </c>
    </row>
    <row r="21" spans="1:6" ht="15" thickBot="1">
      <c r="A21" s="334" t="s">
        <v>319</v>
      </c>
      <c r="B21" s="335">
        <v>1</v>
      </c>
      <c r="C21" s="335">
        <v>7</v>
      </c>
      <c r="D21" s="335">
        <v>13</v>
      </c>
      <c r="E21" s="335">
        <v>20</v>
      </c>
    </row>
    <row r="22" spans="1:6" ht="15" thickBot="1">
      <c r="A22" s="334" t="s">
        <v>320</v>
      </c>
      <c r="B22" s="335">
        <v>2</v>
      </c>
      <c r="C22" s="335">
        <v>9</v>
      </c>
      <c r="D22" s="335">
        <v>16</v>
      </c>
      <c r="E22" s="335">
        <v>24</v>
      </c>
    </row>
    <row r="23" spans="1:6" ht="5.25" customHeight="1" thickBot="1">
      <c r="A23" s="337"/>
      <c r="B23" s="336"/>
      <c r="C23" s="336"/>
      <c r="D23" s="336"/>
      <c r="E23" s="336"/>
    </row>
    <row r="24" spans="1:6" ht="26.15" thickBot="1">
      <c r="A24" s="332" t="s">
        <v>321</v>
      </c>
      <c r="B24" s="333" t="s">
        <v>312</v>
      </c>
      <c r="C24" s="333" t="s">
        <v>313</v>
      </c>
      <c r="D24" s="333" t="s">
        <v>314</v>
      </c>
      <c r="E24" s="333" t="s">
        <v>315</v>
      </c>
    </row>
    <row r="25" spans="1:6" ht="18.45" thickBot="1">
      <c r="A25" s="334" t="s">
        <v>317</v>
      </c>
      <c r="B25" s="335">
        <v>1</v>
      </c>
      <c r="C25" s="335">
        <v>7</v>
      </c>
      <c r="D25" s="335">
        <v>13</v>
      </c>
      <c r="E25" s="335">
        <v>20</v>
      </c>
      <c r="F25" s="219"/>
    </row>
    <row r="26" spans="1:6" ht="15" thickBot="1">
      <c r="A26" s="334" t="s">
        <v>319</v>
      </c>
      <c r="B26" s="335">
        <v>2</v>
      </c>
      <c r="C26" s="335">
        <v>9</v>
      </c>
      <c r="D26" s="335">
        <v>16</v>
      </c>
      <c r="E26" s="335">
        <v>24</v>
      </c>
    </row>
    <row r="27" spans="1:6" ht="15" thickBot="1">
      <c r="A27" s="334" t="s">
        <v>320</v>
      </c>
      <c r="B27" s="335">
        <v>4</v>
      </c>
      <c r="C27" s="335">
        <v>12</v>
      </c>
      <c r="D27" s="335">
        <v>20</v>
      </c>
      <c r="E27" s="335">
        <v>29</v>
      </c>
    </row>
    <row r="28" spans="1:6" ht="5.25" customHeight="1" thickBot="1">
      <c r="A28" s="337"/>
      <c r="B28" s="336"/>
      <c r="C28" s="336"/>
      <c r="D28" s="336"/>
      <c r="E28" s="336"/>
    </row>
    <row r="29" spans="1:6" ht="26.15" thickBot="1">
      <c r="A29" s="332" t="s">
        <v>322</v>
      </c>
      <c r="B29" s="333" t="s">
        <v>312</v>
      </c>
      <c r="C29" s="333" t="s">
        <v>313</v>
      </c>
      <c r="D29" s="333" t="s">
        <v>314</v>
      </c>
      <c r="E29" s="333" t="s">
        <v>315</v>
      </c>
    </row>
    <row r="30" spans="1:6" ht="15" thickBot="1">
      <c r="A30" s="334" t="s">
        <v>317</v>
      </c>
      <c r="B30" s="335">
        <v>2</v>
      </c>
      <c r="C30" s="335">
        <v>9</v>
      </c>
      <c r="D30" s="335">
        <v>16</v>
      </c>
      <c r="E30" s="335">
        <v>23</v>
      </c>
    </row>
    <row r="31" spans="1:6" ht="15" thickBot="1">
      <c r="A31" s="334" t="s">
        <v>319</v>
      </c>
      <c r="B31" s="335">
        <v>4</v>
      </c>
      <c r="C31" s="335">
        <v>11</v>
      </c>
      <c r="D31" s="335">
        <v>20</v>
      </c>
      <c r="E31" s="335">
        <v>29</v>
      </c>
    </row>
    <row r="32" spans="1:6" ht="15" thickBot="1">
      <c r="A32" s="334" t="s">
        <v>320</v>
      </c>
      <c r="B32" s="335">
        <v>5</v>
      </c>
      <c r="C32" s="335">
        <v>13</v>
      </c>
      <c r="D32" s="335">
        <v>23</v>
      </c>
      <c r="E32" s="335">
        <v>36</v>
      </c>
    </row>
    <row r="33" spans="1:5" ht="5.25" customHeight="1"/>
    <row r="34" spans="1:5" ht="5.25" customHeight="1" thickBot="1">
      <c r="A34" s="336"/>
      <c r="B34" s="336"/>
    </row>
    <row r="35" spans="1:5" ht="15" thickBot="1">
      <c r="A35" s="332" t="s">
        <v>307</v>
      </c>
      <c r="B35" s="333" t="s">
        <v>316</v>
      </c>
    </row>
    <row r="36" spans="1:5" ht="15" thickBot="1">
      <c r="A36" s="334" t="s">
        <v>318</v>
      </c>
      <c r="B36" s="335">
        <v>11</v>
      </c>
    </row>
    <row r="38" spans="1:5">
      <c r="A38" s="471" t="s">
        <v>337</v>
      </c>
      <c r="B38" s="471"/>
      <c r="C38" s="67"/>
      <c r="D38" s="67"/>
      <c r="E38" s="67"/>
    </row>
    <row r="39" spans="1:5">
      <c r="A39" s="330" t="s">
        <v>326</v>
      </c>
      <c r="B39" s="329" t="s">
        <v>196</v>
      </c>
      <c r="D39" s="471" t="s">
        <v>338</v>
      </c>
      <c r="E39" s="471"/>
    </row>
    <row r="40" spans="1:5">
      <c r="A40" s="330" t="s">
        <v>327</v>
      </c>
      <c r="B40" s="227">
        <v>0</v>
      </c>
      <c r="D40" s="228" t="s">
        <v>279</v>
      </c>
      <c r="E40" s="226" t="s">
        <v>196</v>
      </c>
    </row>
    <row r="41" spans="1:5">
      <c r="A41" s="330" t="s">
        <v>328</v>
      </c>
      <c r="B41" s="227">
        <v>10</v>
      </c>
      <c r="D41" s="228" t="s">
        <v>339</v>
      </c>
      <c r="E41" s="227">
        <v>0</v>
      </c>
    </row>
    <row r="42" spans="1:5">
      <c r="A42" s="330" t="s">
        <v>329</v>
      </c>
      <c r="B42" s="227">
        <v>20</v>
      </c>
      <c r="D42" s="228" t="s">
        <v>340</v>
      </c>
      <c r="E42" s="227">
        <v>9</v>
      </c>
    </row>
    <row r="43" spans="1:5">
      <c r="A43" s="330" t="s">
        <v>330</v>
      </c>
      <c r="B43" s="227">
        <v>35</v>
      </c>
      <c r="D43" s="228" t="s">
        <v>341</v>
      </c>
      <c r="E43" s="227">
        <v>18</v>
      </c>
    </row>
    <row r="44" spans="1:5">
      <c r="A44" s="330" t="s">
        <v>331</v>
      </c>
      <c r="B44" s="329" t="s">
        <v>196</v>
      </c>
    </row>
    <row r="45" spans="1:5">
      <c r="A45" s="330" t="s">
        <v>332</v>
      </c>
      <c r="B45" s="227">
        <v>0</v>
      </c>
    </row>
    <row r="46" spans="1:5">
      <c r="A46" s="330" t="s">
        <v>342</v>
      </c>
      <c r="B46" s="227">
        <v>0</v>
      </c>
    </row>
    <row r="47" spans="1:5">
      <c r="A47" s="330" t="s">
        <v>343</v>
      </c>
      <c r="B47" s="227">
        <v>10</v>
      </c>
    </row>
    <row r="48" spans="1:5">
      <c r="A48" s="330" t="s">
        <v>344</v>
      </c>
      <c r="B48" s="227">
        <v>20</v>
      </c>
    </row>
    <row r="49" spans="1:2">
      <c r="A49" s="330" t="s">
        <v>345</v>
      </c>
      <c r="B49" s="227">
        <v>35</v>
      </c>
    </row>
  </sheetData>
  <sheetProtection sheet="1" objects="1" scenarios="1"/>
  <mergeCells count="4">
    <mergeCell ref="D39:E39"/>
    <mergeCell ref="A18:E18"/>
    <mergeCell ref="A2:E2"/>
    <mergeCell ref="A38:B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1CB7-7BDA-47A5-B1A8-064B48A1F725}">
  <dimension ref="A1:C168"/>
  <sheetViews>
    <sheetView topLeftCell="A154" workbookViewId="0">
      <selection activeCell="F49" sqref="F49"/>
    </sheetView>
  </sheetViews>
  <sheetFormatPr defaultColWidth="8.69140625" defaultRowHeight="14.6"/>
  <cols>
    <col min="1" max="1" width="57" bestFit="1" customWidth="1"/>
    <col min="2" max="2" width="14.23046875" style="229" bestFit="1" customWidth="1"/>
    <col min="3" max="3" width="25.4609375" bestFit="1" customWidth="1"/>
    <col min="4" max="4" width="9.15234375" bestFit="1" customWidth="1"/>
  </cols>
  <sheetData>
    <row r="1" spans="1:3">
      <c r="A1" s="362" t="s">
        <v>346</v>
      </c>
      <c r="B1" s="363" t="s">
        <v>347</v>
      </c>
      <c r="C1" s="364" t="s">
        <v>348</v>
      </c>
    </row>
    <row r="2" spans="1:3">
      <c r="A2" s="365" t="s">
        <v>349</v>
      </c>
      <c r="B2" s="366" t="s">
        <v>341</v>
      </c>
      <c r="C2" s="367" t="s">
        <v>350</v>
      </c>
    </row>
    <row r="3" spans="1:3">
      <c r="A3" s="368" t="s">
        <v>351</v>
      </c>
      <c r="B3" s="369" t="s">
        <v>339</v>
      </c>
      <c r="C3" s="370" t="s">
        <v>352</v>
      </c>
    </row>
    <row r="4" spans="1:3">
      <c r="A4" s="371" t="s">
        <v>353</v>
      </c>
      <c r="B4" s="366" t="s">
        <v>339</v>
      </c>
      <c r="C4" s="367" t="s">
        <v>352</v>
      </c>
    </row>
    <row r="5" spans="1:3">
      <c r="A5" s="368" t="s">
        <v>354</v>
      </c>
      <c r="B5" s="369" t="s">
        <v>339</v>
      </c>
      <c r="C5" s="370" t="s">
        <v>352</v>
      </c>
    </row>
    <row r="6" spans="1:3">
      <c r="A6" s="365" t="s">
        <v>355</v>
      </c>
      <c r="B6" s="366" t="s">
        <v>340</v>
      </c>
      <c r="C6" s="367" t="s">
        <v>356</v>
      </c>
    </row>
    <row r="7" spans="1:3">
      <c r="A7" s="368" t="s">
        <v>357</v>
      </c>
      <c r="B7" s="369" t="s">
        <v>339</v>
      </c>
      <c r="C7" s="370" t="s">
        <v>358</v>
      </c>
    </row>
    <row r="8" spans="1:3">
      <c r="A8" s="371" t="s">
        <v>359</v>
      </c>
      <c r="B8" s="366" t="s">
        <v>340</v>
      </c>
      <c r="C8" s="367" t="s">
        <v>356</v>
      </c>
    </row>
    <row r="9" spans="1:3">
      <c r="A9" s="368" t="s">
        <v>360</v>
      </c>
      <c r="B9" s="369" t="s">
        <v>339</v>
      </c>
      <c r="C9" s="370" t="s">
        <v>361</v>
      </c>
    </row>
    <row r="10" spans="1:3">
      <c r="A10" s="365" t="s">
        <v>362</v>
      </c>
      <c r="B10" s="366" t="s">
        <v>340</v>
      </c>
      <c r="C10" s="367" t="s">
        <v>356</v>
      </c>
    </row>
    <row r="11" spans="1:3">
      <c r="A11" s="368" t="s">
        <v>363</v>
      </c>
      <c r="B11" s="369" t="s">
        <v>339</v>
      </c>
      <c r="C11" s="370" t="s">
        <v>356</v>
      </c>
    </row>
    <row r="12" spans="1:3">
      <c r="A12" s="365" t="s">
        <v>364</v>
      </c>
      <c r="B12" s="366" t="s">
        <v>340</v>
      </c>
      <c r="C12" s="367" t="s">
        <v>365</v>
      </c>
    </row>
    <row r="13" spans="1:3">
      <c r="A13" s="368" t="s">
        <v>366</v>
      </c>
      <c r="B13" s="369" t="s">
        <v>340</v>
      </c>
      <c r="C13" s="370" t="s">
        <v>365</v>
      </c>
    </row>
    <row r="14" spans="1:3">
      <c r="A14" s="365" t="s">
        <v>367</v>
      </c>
      <c r="B14" s="366" t="s">
        <v>340</v>
      </c>
      <c r="C14" s="367" t="s">
        <v>350</v>
      </c>
    </row>
    <row r="15" spans="1:3">
      <c r="A15" s="368" t="s">
        <v>368</v>
      </c>
      <c r="B15" s="369" t="s">
        <v>339</v>
      </c>
      <c r="C15" s="370" t="s">
        <v>352</v>
      </c>
    </row>
    <row r="16" spans="1:3">
      <c r="A16" s="365" t="s">
        <v>369</v>
      </c>
      <c r="B16" s="366" t="s">
        <v>339</v>
      </c>
      <c r="C16" s="367" t="s">
        <v>358</v>
      </c>
    </row>
    <row r="17" spans="1:3">
      <c r="A17" s="365" t="s">
        <v>370</v>
      </c>
      <c r="B17" s="366" t="s">
        <v>339</v>
      </c>
      <c r="C17" s="367" t="s">
        <v>365</v>
      </c>
    </row>
    <row r="18" spans="1:3">
      <c r="A18" s="368" t="s">
        <v>371</v>
      </c>
      <c r="B18" s="369" t="s">
        <v>341</v>
      </c>
      <c r="C18" s="370" t="s">
        <v>365</v>
      </c>
    </row>
    <row r="19" spans="1:3">
      <c r="A19" s="365" t="s">
        <v>372</v>
      </c>
      <c r="B19" s="366" t="s">
        <v>339</v>
      </c>
      <c r="C19" s="367" t="s">
        <v>373</v>
      </c>
    </row>
    <row r="20" spans="1:3">
      <c r="A20" s="368" t="s">
        <v>374</v>
      </c>
      <c r="B20" s="369" t="s">
        <v>339</v>
      </c>
      <c r="C20" s="370" t="s">
        <v>356</v>
      </c>
    </row>
    <row r="21" spans="1:3">
      <c r="A21" s="365" t="s">
        <v>375</v>
      </c>
      <c r="B21" s="366" t="s">
        <v>339</v>
      </c>
      <c r="C21" s="367" t="s">
        <v>376</v>
      </c>
    </row>
    <row r="22" spans="1:3">
      <c r="A22" s="368" t="s">
        <v>377</v>
      </c>
      <c r="B22" s="369" t="s">
        <v>339</v>
      </c>
      <c r="C22" s="370" t="s">
        <v>356</v>
      </c>
    </row>
    <row r="23" spans="1:3">
      <c r="A23" s="365" t="s">
        <v>378</v>
      </c>
      <c r="B23" s="366" t="s">
        <v>340</v>
      </c>
      <c r="C23" s="367" t="s">
        <v>350</v>
      </c>
    </row>
    <row r="24" spans="1:3">
      <c r="A24" s="368" t="s">
        <v>379</v>
      </c>
      <c r="B24" s="369" t="s">
        <v>340</v>
      </c>
      <c r="C24" s="370" t="s">
        <v>356</v>
      </c>
    </row>
    <row r="25" spans="1:3">
      <c r="A25" s="365" t="s">
        <v>380</v>
      </c>
      <c r="B25" s="366" t="s">
        <v>339</v>
      </c>
      <c r="C25" s="367" t="s">
        <v>356</v>
      </c>
    </row>
    <row r="26" spans="1:3">
      <c r="A26" s="368" t="s">
        <v>381</v>
      </c>
      <c r="B26" s="369" t="s">
        <v>339</v>
      </c>
      <c r="C26" s="370" t="s">
        <v>382</v>
      </c>
    </row>
    <row r="27" spans="1:3">
      <c r="A27" s="365" t="s">
        <v>383</v>
      </c>
      <c r="B27" s="366" t="s">
        <v>339</v>
      </c>
      <c r="C27" s="367" t="s">
        <v>356</v>
      </c>
    </row>
    <row r="28" spans="1:3">
      <c r="A28" s="368" t="s">
        <v>384</v>
      </c>
      <c r="B28" s="369" t="s">
        <v>340</v>
      </c>
      <c r="C28" s="370" t="s">
        <v>350</v>
      </c>
    </row>
    <row r="29" spans="1:3">
      <c r="A29" s="365" t="s">
        <v>385</v>
      </c>
      <c r="B29" s="366" t="s">
        <v>339</v>
      </c>
      <c r="C29" s="367" t="s">
        <v>352</v>
      </c>
    </row>
    <row r="30" spans="1:3">
      <c r="A30" s="368" t="s">
        <v>386</v>
      </c>
      <c r="B30" s="369" t="s">
        <v>339</v>
      </c>
      <c r="C30" s="370" t="s">
        <v>350</v>
      </c>
    </row>
    <row r="31" spans="1:3">
      <c r="A31" s="365" t="s">
        <v>387</v>
      </c>
      <c r="B31" s="366" t="s">
        <v>339</v>
      </c>
      <c r="C31" s="367" t="s">
        <v>350</v>
      </c>
    </row>
    <row r="32" spans="1:3">
      <c r="A32" s="368" t="s">
        <v>388</v>
      </c>
      <c r="B32" s="369" t="s">
        <v>339</v>
      </c>
      <c r="C32" s="370" t="s">
        <v>352</v>
      </c>
    </row>
    <row r="33" spans="1:3">
      <c r="A33" s="365" t="s">
        <v>389</v>
      </c>
      <c r="B33" s="366" t="s">
        <v>339</v>
      </c>
      <c r="C33" s="367" t="s">
        <v>352</v>
      </c>
    </row>
    <row r="34" spans="1:3">
      <c r="A34" s="368" t="s">
        <v>390</v>
      </c>
      <c r="B34" s="369" t="s">
        <v>339</v>
      </c>
      <c r="C34" s="370" t="s">
        <v>350</v>
      </c>
    </row>
    <row r="35" spans="1:3">
      <c r="A35" s="365" t="s">
        <v>391</v>
      </c>
      <c r="B35" s="366" t="s">
        <v>339</v>
      </c>
      <c r="C35" s="367" t="s">
        <v>365</v>
      </c>
    </row>
    <row r="36" spans="1:3">
      <c r="A36" s="368" t="s">
        <v>392</v>
      </c>
      <c r="B36" s="369" t="s">
        <v>339</v>
      </c>
      <c r="C36" s="370" t="s">
        <v>358</v>
      </c>
    </row>
    <row r="37" spans="1:3">
      <c r="A37" s="365" t="s">
        <v>393</v>
      </c>
      <c r="B37" s="366" t="s">
        <v>340</v>
      </c>
      <c r="C37" s="367" t="s">
        <v>356</v>
      </c>
    </row>
    <row r="38" spans="1:3">
      <c r="A38" s="372" t="s">
        <v>394</v>
      </c>
      <c r="B38" s="369" t="s">
        <v>339</v>
      </c>
      <c r="C38" s="370" t="s">
        <v>356</v>
      </c>
    </row>
    <row r="39" spans="1:3">
      <c r="A39" s="365" t="s">
        <v>395</v>
      </c>
      <c r="B39" s="366" t="s">
        <v>339</v>
      </c>
      <c r="C39" s="367" t="s">
        <v>396</v>
      </c>
    </row>
    <row r="40" spans="1:3">
      <c r="A40" s="368" t="s">
        <v>397</v>
      </c>
      <c r="B40" s="369" t="s">
        <v>339</v>
      </c>
      <c r="C40" s="370" t="s">
        <v>350</v>
      </c>
    </row>
    <row r="41" spans="1:3">
      <c r="A41" s="365" t="s">
        <v>398</v>
      </c>
      <c r="B41" s="366" t="s">
        <v>339</v>
      </c>
      <c r="C41" s="367" t="s">
        <v>358</v>
      </c>
    </row>
    <row r="42" spans="1:3">
      <c r="A42" s="368" t="s">
        <v>399</v>
      </c>
      <c r="B42" s="369" t="s">
        <v>339</v>
      </c>
      <c r="C42" s="370" t="s">
        <v>382</v>
      </c>
    </row>
    <row r="43" spans="1:3">
      <c r="A43" s="365" t="s">
        <v>400</v>
      </c>
      <c r="B43" s="366" t="s">
        <v>339</v>
      </c>
      <c r="C43" s="367" t="s">
        <v>352</v>
      </c>
    </row>
    <row r="44" spans="1:3">
      <c r="A44" s="368" t="s">
        <v>401</v>
      </c>
      <c r="B44" s="369" t="s">
        <v>339</v>
      </c>
      <c r="C44" s="370" t="s">
        <v>352</v>
      </c>
    </row>
    <row r="45" spans="1:3">
      <c r="A45" s="365" t="s">
        <v>402</v>
      </c>
      <c r="B45" s="366" t="s">
        <v>339</v>
      </c>
      <c r="C45" s="367" t="s">
        <v>382</v>
      </c>
    </row>
    <row r="46" spans="1:3">
      <c r="A46" s="368" t="s">
        <v>403</v>
      </c>
      <c r="B46" s="369" t="s">
        <v>339</v>
      </c>
      <c r="C46" s="370" t="s">
        <v>365</v>
      </c>
    </row>
    <row r="47" spans="1:3">
      <c r="A47" s="368" t="s">
        <v>543</v>
      </c>
      <c r="B47" s="369" t="s">
        <v>339</v>
      </c>
      <c r="C47" s="370" t="s">
        <v>356</v>
      </c>
    </row>
    <row r="48" spans="1:3">
      <c r="A48" s="365" t="s">
        <v>404</v>
      </c>
      <c r="B48" s="366" t="s">
        <v>340</v>
      </c>
      <c r="C48" s="367" t="s">
        <v>356</v>
      </c>
    </row>
    <row r="49" spans="1:3">
      <c r="A49" s="368" t="s">
        <v>405</v>
      </c>
      <c r="B49" s="369" t="s">
        <v>340</v>
      </c>
      <c r="C49" s="370" t="s">
        <v>373</v>
      </c>
    </row>
    <row r="50" spans="1:3">
      <c r="A50" s="365" t="s">
        <v>406</v>
      </c>
      <c r="B50" s="366" t="s">
        <v>340</v>
      </c>
      <c r="C50" s="367" t="s">
        <v>356</v>
      </c>
    </row>
    <row r="51" spans="1:3">
      <c r="A51" s="368" t="s">
        <v>407</v>
      </c>
      <c r="B51" s="369" t="s">
        <v>339</v>
      </c>
      <c r="C51" s="370" t="s">
        <v>356</v>
      </c>
    </row>
    <row r="52" spans="1:3">
      <c r="A52" s="365" t="s">
        <v>408</v>
      </c>
      <c r="B52" s="366" t="s">
        <v>339</v>
      </c>
      <c r="C52" s="367" t="s">
        <v>352</v>
      </c>
    </row>
    <row r="53" spans="1:3">
      <c r="A53" s="368" t="s">
        <v>409</v>
      </c>
      <c r="B53" s="369" t="s">
        <v>339</v>
      </c>
      <c r="C53" s="370" t="s">
        <v>365</v>
      </c>
    </row>
    <row r="54" spans="1:3">
      <c r="A54" s="365" t="s">
        <v>410</v>
      </c>
      <c r="B54" s="366" t="s">
        <v>340</v>
      </c>
      <c r="C54" s="367" t="s">
        <v>356</v>
      </c>
    </row>
    <row r="55" spans="1:3">
      <c r="A55" s="368" t="s">
        <v>411</v>
      </c>
      <c r="B55" s="369" t="s">
        <v>339</v>
      </c>
      <c r="C55" s="370" t="s">
        <v>352</v>
      </c>
    </row>
    <row r="56" spans="1:3">
      <c r="A56" s="365" t="s">
        <v>412</v>
      </c>
      <c r="B56" s="366" t="s">
        <v>339</v>
      </c>
      <c r="C56" s="367" t="s">
        <v>350</v>
      </c>
    </row>
    <row r="57" spans="1:3">
      <c r="A57" s="368" t="s">
        <v>413</v>
      </c>
      <c r="B57" s="369" t="s">
        <v>340</v>
      </c>
      <c r="C57" s="370" t="s">
        <v>356</v>
      </c>
    </row>
    <row r="58" spans="1:3">
      <c r="A58" s="365" t="s">
        <v>414</v>
      </c>
      <c r="B58" s="366" t="s">
        <v>341</v>
      </c>
      <c r="C58" s="367" t="s">
        <v>350</v>
      </c>
    </row>
    <row r="59" spans="1:3">
      <c r="A59" s="368" t="s">
        <v>415</v>
      </c>
      <c r="B59" s="369" t="s">
        <v>339</v>
      </c>
      <c r="C59" s="370" t="s">
        <v>356</v>
      </c>
    </row>
    <row r="60" spans="1:3">
      <c r="A60" s="365" t="s">
        <v>416</v>
      </c>
      <c r="B60" s="366" t="s">
        <v>339</v>
      </c>
      <c r="C60" s="367" t="s">
        <v>373</v>
      </c>
    </row>
    <row r="61" spans="1:3">
      <c r="A61" s="368" t="s">
        <v>417</v>
      </c>
      <c r="B61" s="369" t="s">
        <v>340</v>
      </c>
      <c r="C61" s="370" t="s">
        <v>356</v>
      </c>
    </row>
    <row r="62" spans="1:3">
      <c r="A62" s="365" t="s">
        <v>418</v>
      </c>
      <c r="B62" s="366" t="s">
        <v>340</v>
      </c>
      <c r="C62" s="367" t="s">
        <v>356</v>
      </c>
    </row>
    <row r="63" spans="1:3">
      <c r="A63" s="368" t="s">
        <v>419</v>
      </c>
      <c r="B63" s="369" t="s">
        <v>339</v>
      </c>
      <c r="C63" s="370" t="s">
        <v>352</v>
      </c>
    </row>
    <row r="64" spans="1:3">
      <c r="A64" s="365" t="s">
        <v>420</v>
      </c>
      <c r="B64" s="366" t="s">
        <v>339</v>
      </c>
      <c r="C64" s="367" t="s">
        <v>365</v>
      </c>
    </row>
    <row r="65" spans="1:3">
      <c r="A65" s="368" t="s">
        <v>421</v>
      </c>
      <c r="B65" s="369" t="s">
        <v>339</v>
      </c>
      <c r="C65" s="370" t="s">
        <v>350</v>
      </c>
    </row>
    <row r="66" spans="1:3">
      <c r="A66" s="365" t="s">
        <v>422</v>
      </c>
      <c r="B66" s="366" t="s">
        <v>339</v>
      </c>
      <c r="C66" s="367" t="s">
        <v>365</v>
      </c>
    </row>
    <row r="67" spans="1:3">
      <c r="A67" s="372" t="s">
        <v>423</v>
      </c>
      <c r="B67" s="369" t="s">
        <v>339</v>
      </c>
      <c r="C67" s="370" t="s">
        <v>365</v>
      </c>
    </row>
    <row r="68" spans="1:3">
      <c r="A68" s="365" t="s">
        <v>424</v>
      </c>
      <c r="B68" s="366" t="s">
        <v>339</v>
      </c>
      <c r="C68" s="367" t="s">
        <v>396</v>
      </c>
    </row>
    <row r="69" spans="1:3">
      <c r="A69" s="368" t="s">
        <v>425</v>
      </c>
      <c r="B69" s="369" t="s">
        <v>340</v>
      </c>
      <c r="C69" s="370" t="s">
        <v>356</v>
      </c>
    </row>
    <row r="70" spans="1:3">
      <c r="A70" s="365" t="s">
        <v>426</v>
      </c>
      <c r="B70" s="366" t="s">
        <v>339</v>
      </c>
      <c r="C70" s="367" t="s">
        <v>352</v>
      </c>
    </row>
    <row r="71" spans="1:3">
      <c r="A71" s="368" t="s">
        <v>427</v>
      </c>
      <c r="B71" s="369" t="s">
        <v>339</v>
      </c>
      <c r="C71" s="370" t="s">
        <v>365</v>
      </c>
    </row>
    <row r="72" spans="1:3">
      <c r="A72" s="365" t="s">
        <v>428</v>
      </c>
      <c r="B72" s="366" t="s">
        <v>340</v>
      </c>
      <c r="C72" s="367" t="s">
        <v>356</v>
      </c>
    </row>
    <row r="73" spans="1:3">
      <c r="A73" s="368" t="s">
        <v>429</v>
      </c>
      <c r="B73" s="369" t="s">
        <v>339</v>
      </c>
      <c r="C73" s="370" t="s">
        <v>358</v>
      </c>
    </row>
    <row r="74" spans="1:3">
      <c r="A74" s="365" t="s">
        <v>430</v>
      </c>
      <c r="B74" s="366" t="s">
        <v>339</v>
      </c>
      <c r="C74" s="367" t="s">
        <v>358</v>
      </c>
    </row>
    <row r="75" spans="1:3">
      <c r="A75" s="368" t="s">
        <v>431</v>
      </c>
      <c r="B75" s="369" t="s">
        <v>339</v>
      </c>
      <c r="C75" s="370" t="s">
        <v>352</v>
      </c>
    </row>
    <row r="76" spans="1:3">
      <c r="A76" s="365" t="s">
        <v>432</v>
      </c>
      <c r="B76" s="366" t="s">
        <v>340</v>
      </c>
      <c r="C76" s="367" t="s">
        <v>396</v>
      </c>
    </row>
    <row r="77" spans="1:3">
      <c r="A77" s="368" t="s">
        <v>433</v>
      </c>
      <c r="B77" s="369" t="s">
        <v>340</v>
      </c>
      <c r="C77" s="370" t="s">
        <v>350</v>
      </c>
    </row>
    <row r="78" spans="1:3">
      <c r="A78" s="365" t="s">
        <v>434</v>
      </c>
      <c r="B78" s="366" t="s">
        <v>339</v>
      </c>
      <c r="C78" s="367" t="s">
        <v>350</v>
      </c>
    </row>
    <row r="79" spans="1:3">
      <c r="A79" s="368" t="s">
        <v>435</v>
      </c>
      <c r="B79" s="369" t="s">
        <v>339</v>
      </c>
      <c r="C79" s="370" t="s">
        <v>373</v>
      </c>
    </row>
    <row r="80" spans="1:3">
      <c r="A80" s="365" t="s">
        <v>436</v>
      </c>
      <c r="B80" s="366" t="s">
        <v>339</v>
      </c>
      <c r="C80" s="367" t="s">
        <v>365</v>
      </c>
    </row>
    <row r="81" spans="1:3">
      <c r="A81" s="368" t="s">
        <v>437</v>
      </c>
      <c r="B81" s="369" t="s">
        <v>339</v>
      </c>
      <c r="C81" s="370" t="s">
        <v>350</v>
      </c>
    </row>
    <row r="82" spans="1:3">
      <c r="A82" s="365" t="s">
        <v>438</v>
      </c>
      <c r="B82" s="366" t="s">
        <v>339</v>
      </c>
      <c r="C82" s="367" t="s">
        <v>361</v>
      </c>
    </row>
    <row r="83" spans="1:3">
      <c r="A83" s="368" t="s">
        <v>439</v>
      </c>
      <c r="B83" s="369" t="s">
        <v>339</v>
      </c>
      <c r="C83" s="370" t="s">
        <v>358</v>
      </c>
    </row>
    <row r="84" spans="1:3">
      <c r="A84" s="365" t="s">
        <v>440</v>
      </c>
      <c r="B84" s="366" t="s">
        <v>339</v>
      </c>
      <c r="C84" s="367" t="s">
        <v>382</v>
      </c>
    </row>
    <row r="85" spans="1:3">
      <c r="A85" s="368" t="s">
        <v>441</v>
      </c>
      <c r="B85" s="369" t="s">
        <v>339</v>
      </c>
      <c r="C85" s="370" t="s">
        <v>373</v>
      </c>
    </row>
    <row r="86" spans="1:3">
      <c r="A86" s="365" t="s">
        <v>442</v>
      </c>
      <c r="B86" s="366" t="s">
        <v>341</v>
      </c>
      <c r="C86" s="367" t="s">
        <v>443</v>
      </c>
    </row>
    <row r="87" spans="1:3">
      <c r="A87" s="368" t="s">
        <v>444</v>
      </c>
      <c r="B87" s="369" t="s">
        <v>339</v>
      </c>
      <c r="C87" s="370" t="s">
        <v>356</v>
      </c>
    </row>
    <row r="88" spans="1:3">
      <c r="A88" s="365" t="s">
        <v>445</v>
      </c>
      <c r="B88" s="366" t="s">
        <v>339</v>
      </c>
      <c r="C88" s="367" t="s">
        <v>376</v>
      </c>
    </row>
    <row r="89" spans="1:3">
      <c r="A89" s="368" t="s">
        <v>446</v>
      </c>
      <c r="B89" s="369" t="s">
        <v>339</v>
      </c>
      <c r="C89" s="370" t="s">
        <v>352</v>
      </c>
    </row>
    <row r="90" spans="1:3">
      <c r="A90" s="371" t="s">
        <v>447</v>
      </c>
      <c r="B90" s="366" t="s">
        <v>339</v>
      </c>
      <c r="C90" s="367" t="s">
        <v>396</v>
      </c>
    </row>
    <row r="91" spans="1:3">
      <c r="A91" s="368" t="s">
        <v>448</v>
      </c>
      <c r="B91" s="369" t="s">
        <v>339</v>
      </c>
      <c r="C91" s="370" t="s">
        <v>356</v>
      </c>
    </row>
    <row r="92" spans="1:3">
      <c r="A92" s="365" t="s">
        <v>449</v>
      </c>
      <c r="B92" s="366" t="s">
        <v>339</v>
      </c>
      <c r="C92" s="367" t="s">
        <v>396</v>
      </c>
    </row>
    <row r="93" spans="1:3">
      <c r="A93" s="368" t="s">
        <v>450</v>
      </c>
      <c r="B93" s="369" t="s">
        <v>339</v>
      </c>
      <c r="C93" s="370" t="s">
        <v>356</v>
      </c>
    </row>
    <row r="94" spans="1:3">
      <c r="A94" s="365" t="s">
        <v>451</v>
      </c>
      <c r="B94" s="366" t="s">
        <v>339</v>
      </c>
      <c r="C94" s="367" t="s">
        <v>365</v>
      </c>
    </row>
    <row r="95" spans="1:3">
      <c r="A95" s="368" t="s">
        <v>452</v>
      </c>
      <c r="B95" s="369" t="s">
        <v>340</v>
      </c>
      <c r="C95" s="370" t="s">
        <v>356</v>
      </c>
    </row>
    <row r="96" spans="1:3">
      <c r="A96" s="365" t="s">
        <v>453</v>
      </c>
      <c r="B96" s="366" t="s">
        <v>340</v>
      </c>
      <c r="C96" s="367" t="s">
        <v>356</v>
      </c>
    </row>
    <row r="97" spans="1:3">
      <c r="A97" s="368" t="s">
        <v>454</v>
      </c>
      <c r="B97" s="369" t="s">
        <v>339</v>
      </c>
      <c r="C97" s="370" t="s">
        <v>356</v>
      </c>
    </row>
    <row r="98" spans="1:3">
      <c r="A98" s="365" t="s">
        <v>455</v>
      </c>
      <c r="B98" s="366" t="s">
        <v>339</v>
      </c>
      <c r="C98" s="367" t="s">
        <v>356</v>
      </c>
    </row>
    <row r="99" spans="1:3">
      <c r="A99" s="368" t="s">
        <v>456</v>
      </c>
      <c r="B99" s="369" t="s">
        <v>340</v>
      </c>
      <c r="C99" s="370" t="s">
        <v>350</v>
      </c>
    </row>
    <row r="100" spans="1:3">
      <c r="A100" s="365" t="s">
        <v>457</v>
      </c>
      <c r="B100" s="366" t="s">
        <v>339</v>
      </c>
      <c r="C100" s="367" t="s">
        <v>356</v>
      </c>
    </row>
    <row r="101" spans="1:3">
      <c r="A101" s="368" t="s">
        <v>458</v>
      </c>
      <c r="B101" s="369" t="s">
        <v>340</v>
      </c>
      <c r="C101" s="370" t="s">
        <v>350</v>
      </c>
    </row>
    <row r="102" spans="1:3">
      <c r="A102" s="365" t="s">
        <v>459</v>
      </c>
      <c r="B102" s="366" t="s">
        <v>339</v>
      </c>
      <c r="C102" s="367" t="s">
        <v>356</v>
      </c>
    </row>
    <row r="103" spans="1:3">
      <c r="A103" s="368" t="s">
        <v>460</v>
      </c>
      <c r="B103" s="369" t="s">
        <v>340</v>
      </c>
      <c r="C103" s="370" t="s">
        <v>356</v>
      </c>
    </row>
    <row r="104" spans="1:3">
      <c r="A104" s="365" t="s">
        <v>461</v>
      </c>
      <c r="B104" s="366" t="s">
        <v>340</v>
      </c>
      <c r="C104" s="367" t="s">
        <v>350</v>
      </c>
    </row>
    <row r="105" spans="1:3">
      <c r="A105" s="368" t="s">
        <v>462</v>
      </c>
      <c r="B105" s="369" t="s">
        <v>340</v>
      </c>
      <c r="C105" s="370" t="s">
        <v>356</v>
      </c>
    </row>
    <row r="106" spans="1:3">
      <c r="A106" s="365" t="s">
        <v>463</v>
      </c>
      <c r="B106" s="366" t="s">
        <v>340</v>
      </c>
      <c r="C106" s="367" t="s">
        <v>361</v>
      </c>
    </row>
    <row r="107" spans="1:3">
      <c r="A107" s="368" t="s">
        <v>464</v>
      </c>
      <c r="B107" s="369" t="s">
        <v>339</v>
      </c>
      <c r="C107" s="370" t="s">
        <v>350</v>
      </c>
    </row>
    <row r="108" spans="1:3">
      <c r="A108" s="365" t="s">
        <v>465</v>
      </c>
      <c r="B108" s="366" t="s">
        <v>339</v>
      </c>
      <c r="C108" s="367" t="s">
        <v>396</v>
      </c>
    </row>
    <row r="109" spans="1:3">
      <c r="A109" s="368" t="s">
        <v>466</v>
      </c>
      <c r="B109" s="369" t="s">
        <v>339</v>
      </c>
      <c r="C109" s="370" t="s">
        <v>350</v>
      </c>
    </row>
    <row r="110" spans="1:3">
      <c r="A110" s="371" t="s">
        <v>467</v>
      </c>
      <c r="B110" s="366" t="s">
        <v>340</v>
      </c>
      <c r="C110" s="367" t="s">
        <v>350</v>
      </c>
    </row>
    <row r="111" spans="1:3">
      <c r="A111" s="368" t="s">
        <v>468</v>
      </c>
      <c r="B111" s="369" t="s">
        <v>339</v>
      </c>
      <c r="C111" s="370" t="s">
        <v>352</v>
      </c>
    </row>
    <row r="112" spans="1:3">
      <c r="A112" s="365" t="s">
        <v>469</v>
      </c>
      <c r="B112" s="366" t="s">
        <v>339</v>
      </c>
      <c r="C112" s="367" t="s">
        <v>350</v>
      </c>
    </row>
    <row r="113" spans="1:3">
      <c r="A113" s="368" t="s">
        <v>470</v>
      </c>
      <c r="B113" s="369" t="s">
        <v>339</v>
      </c>
      <c r="C113" s="370" t="s">
        <v>365</v>
      </c>
    </row>
    <row r="114" spans="1:3">
      <c r="A114" s="365" t="s">
        <v>471</v>
      </c>
      <c r="B114" s="366" t="s">
        <v>339</v>
      </c>
      <c r="C114" s="367" t="s">
        <v>396</v>
      </c>
    </row>
    <row r="115" spans="1:3">
      <c r="A115" s="368" t="s">
        <v>472</v>
      </c>
      <c r="B115" s="369" t="s">
        <v>339</v>
      </c>
      <c r="C115" s="370" t="s">
        <v>352</v>
      </c>
    </row>
    <row r="116" spans="1:3">
      <c r="A116" s="365" t="s">
        <v>473</v>
      </c>
      <c r="B116" s="366" t="s">
        <v>339</v>
      </c>
      <c r="C116" s="367" t="s">
        <v>352</v>
      </c>
    </row>
    <row r="117" spans="1:3">
      <c r="A117" s="368" t="s">
        <v>474</v>
      </c>
      <c r="B117" s="369" t="s">
        <v>339</v>
      </c>
      <c r="C117" s="370" t="s">
        <v>352</v>
      </c>
    </row>
    <row r="118" spans="1:3">
      <c r="A118" s="365" t="s">
        <v>475</v>
      </c>
      <c r="B118" s="366" t="s">
        <v>339</v>
      </c>
      <c r="C118" s="367" t="s">
        <v>352</v>
      </c>
    </row>
    <row r="119" spans="1:3">
      <c r="A119" s="368" t="s">
        <v>476</v>
      </c>
      <c r="B119" s="369" t="s">
        <v>339</v>
      </c>
      <c r="C119" s="370" t="s">
        <v>358</v>
      </c>
    </row>
    <row r="120" spans="1:3">
      <c r="A120" s="365" t="s">
        <v>477</v>
      </c>
      <c r="B120" s="366" t="s">
        <v>339</v>
      </c>
      <c r="C120" s="367" t="s">
        <v>352</v>
      </c>
    </row>
    <row r="121" spans="1:3">
      <c r="A121" s="368" t="s">
        <v>478</v>
      </c>
      <c r="B121" s="369" t="s">
        <v>339</v>
      </c>
      <c r="C121" s="370" t="s">
        <v>352</v>
      </c>
    </row>
    <row r="122" spans="1:3">
      <c r="A122" s="365" t="s">
        <v>479</v>
      </c>
      <c r="B122" s="366" t="s">
        <v>339</v>
      </c>
      <c r="C122" s="367" t="s">
        <v>352</v>
      </c>
    </row>
    <row r="123" spans="1:3">
      <c r="A123" s="368" t="s">
        <v>480</v>
      </c>
      <c r="B123" s="369" t="s">
        <v>339</v>
      </c>
      <c r="C123" s="370" t="s">
        <v>352</v>
      </c>
    </row>
    <row r="124" spans="1:3">
      <c r="A124" s="365" t="s">
        <v>481</v>
      </c>
      <c r="B124" s="366" t="s">
        <v>339</v>
      </c>
      <c r="C124" s="367" t="s">
        <v>352</v>
      </c>
    </row>
    <row r="125" spans="1:3">
      <c r="A125" s="368" t="s">
        <v>482</v>
      </c>
      <c r="B125" s="369" t="s">
        <v>339</v>
      </c>
      <c r="C125" s="370" t="s">
        <v>350</v>
      </c>
    </row>
    <row r="126" spans="1:3">
      <c r="A126" s="365" t="s">
        <v>483</v>
      </c>
      <c r="B126" s="366" t="s">
        <v>339</v>
      </c>
      <c r="C126" s="367" t="s">
        <v>356</v>
      </c>
    </row>
    <row r="127" spans="1:3">
      <c r="A127" s="368" t="s">
        <v>484</v>
      </c>
      <c r="B127" s="369" t="s">
        <v>339</v>
      </c>
      <c r="C127" s="370" t="s">
        <v>396</v>
      </c>
    </row>
    <row r="128" spans="1:3">
      <c r="A128" s="365" t="s">
        <v>485</v>
      </c>
      <c r="B128" s="366" t="s">
        <v>339</v>
      </c>
      <c r="C128" s="367" t="s">
        <v>356</v>
      </c>
    </row>
    <row r="129" spans="1:3">
      <c r="A129" s="368" t="s">
        <v>486</v>
      </c>
      <c r="B129" s="369" t="s">
        <v>339</v>
      </c>
      <c r="C129" s="370" t="s">
        <v>352</v>
      </c>
    </row>
    <row r="130" spans="1:3">
      <c r="A130" s="365" t="s">
        <v>487</v>
      </c>
      <c r="B130" s="366" t="s">
        <v>339</v>
      </c>
      <c r="C130" s="367" t="s">
        <v>352</v>
      </c>
    </row>
    <row r="131" spans="1:3">
      <c r="A131" s="368" t="s">
        <v>488</v>
      </c>
      <c r="B131" s="369" t="s">
        <v>339</v>
      </c>
      <c r="C131" s="370" t="s">
        <v>352</v>
      </c>
    </row>
    <row r="132" spans="1:3">
      <c r="A132" s="365" t="s">
        <v>489</v>
      </c>
      <c r="B132" s="366" t="s">
        <v>339</v>
      </c>
      <c r="C132" s="367" t="s">
        <v>352</v>
      </c>
    </row>
    <row r="133" spans="1:3">
      <c r="A133" s="368" t="s">
        <v>490</v>
      </c>
      <c r="B133" s="369" t="s">
        <v>339</v>
      </c>
      <c r="C133" s="370" t="s">
        <v>350</v>
      </c>
    </row>
    <row r="134" spans="1:3">
      <c r="A134" s="365" t="s">
        <v>491</v>
      </c>
      <c r="B134" s="366" t="s">
        <v>340</v>
      </c>
      <c r="C134" s="367" t="s">
        <v>356</v>
      </c>
    </row>
    <row r="135" spans="1:3">
      <c r="A135" s="368" t="s">
        <v>492</v>
      </c>
      <c r="B135" s="369" t="s">
        <v>339</v>
      </c>
      <c r="C135" s="370" t="s">
        <v>382</v>
      </c>
    </row>
    <row r="136" spans="1:3">
      <c r="A136" s="365" t="s">
        <v>493</v>
      </c>
      <c r="B136" s="366" t="s">
        <v>339</v>
      </c>
      <c r="C136" s="367" t="s">
        <v>361</v>
      </c>
    </row>
    <row r="137" spans="1:3">
      <c r="A137" s="368" t="s">
        <v>494</v>
      </c>
      <c r="B137" s="369" t="s">
        <v>340</v>
      </c>
      <c r="C137" s="370" t="s">
        <v>356</v>
      </c>
    </row>
    <row r="138" spans="1:3">
      <c r="A138" s="365" t="s">
        <v>495</v>
      </c>
      <c r="B138" s="366" t="s">
        <v>339</v>
      </c>
      <c r="C138" s="367" t="s">
        <v>365</v>
      </c>
    </row>
    <row r="139" spans="1:3">
      <c r="A139" s="368" t="s">
        <v>496</v>
      </c>
      <c r="B139" s="369" t="s">
        <v>339</v>
      </c>
      <c r="C139" s="370" t="s">
        <v>376</v>
      </c>
    </row>
    <row r="140" spans="1:3">
      <c r="A140" s="365" t="s">
        <v>497</v>
      </c>
      <c r="B140" s="366" t="s">
        <v>339</v>
      </c>
      <c r="C140" s="367" t="s">
        <v>396</v>
      </c>
    </row>
    <row r="141" spans="1:3">
      <c r="A141" s="368" t="s">
        <v>498</v>
      </c>
      <c r="B141" s="369" t="s">
        <v>339</v>
      </c>
      <c r="C141" s="370" t="s">
        <v>365</v>
      </c>
    </row>
    <row r="142" spans="1:3">
      <c r="A142" s="365" t="s">
        <v>499</v>
      </c>
      <c r="B142" s="366" t="s">
        <v>339</v>
      </c>
      <c r="C142" s="367" t="s">
        <v>350</v>
      </c>
    </row>
    <row r="143" spans="1:3">
      <c r="A143" s="372" t="s">
        <v>500</v>
      </c>
      <c r="B143" s="369" t="s">
        <v>339</v>
      </c>
      <c r="C143" s="370" t="s">
        <v>352</v>
      </c>
    </row>
    <row r="144" spans="1:3">
      <c r="A144" s="365" t="s">
        <v>501</v>
      </c>
      <c r="B144" s="366" t="s">
        <v>339</v>
      </c>
      <c r="C144" s="367" t="s">
        <v>361</v>
      </c>
    </row>
    <row r="145" spans="1:3">
      <c r="A145" s="368" t="s">
        <v>502</v>
      </c>
      <c r="B145" s="369" t="s">
        <v>339</v>
      </c>
      <c r="C145" s="370" t="s">
        <v>356</v>
      </c>
    </row>
    <row r="146" spans="1:3">
      <c r="A146" s="365" t="s">
        <v>503</v>
      </c>
      <c r="B146" s="366" t="s">
        <v>339</v>
      </c>
      <c r="C146" s="367" t="s">
        <v>356</v>
      </c>
    </row>
    <row r="147" spans="1:3">
      <c r="A147" s="368" t="s">
        <v>504</v>
      </c>
      <c r="B147" s="369" t="s">
        <v>339</v>
      </c>
      <c r="C147" s="370" t="s">
        <v>356</v>
      </c>
    </row>
    <row r="148" spans="1:3">
      <c r="A148" s="365" t="s">
        <v>505</v>
      </c>
      <c r="B148" s="366" t="s">
        <v>341</v>
      </c>
      <c r="C148" s="367" t="s">
        <v>356</v>
      </c>
    </row>
    <row r="149" spans="1:3">
      <c r="A149" s="368" t="s">
        <v>506</v>
      </c>
      <c r="B149" s="369" t="s">
        <v>339</v>
      </c>
      <c r="C149" s="370" t="s">
        <v>350</v>
      </c>
    </row>
    <row r="150" spans="1:3">
      <c r="A150" s="365" t="s">
        <v>507</v>
      </c>
      <c r="B150" s="366" t="s">
        <v>339</v>
      </c>
      <c r="C150" s="367" t="s">
        <v>352</v>
      </c>
    </row>
    <row r="151" spans="1:3">
      <c r="A151" s="372" t="s">
        <v>508</v>
      </c>
      <c r="B151" s="369" t="s">
        <v>339</v>
      </c>
      <c r="C151" s="370" t="s">
        <v>373</v>
      </c>
    </row>
    <row r="152" spans="1:3">
      <c r="A152" s="365" t="s">
        <v>509</v>
      </c>
      <c r="B152" s="366" t="s">
        <v>339</v>
      </c>
      <c r="C152" s="367" t="s">
        <v>352</v>
      </c>
    </row>
    <row r="153" spans="1:3">
      <c r="A153" s="368" t="s">
        <v>510</v>
      </c>
      <c r="B153" s="369" t="s">
        <v>341</v>
      </c>
      <c r="C153" s="370" t="s">
        <v>350</v>
      </c>
    </row>
    <row r="154" spans="1:3">
      <c r="A154" s="371" t="s">
        <v>511</v>
      </c>
      <c r="B154" s="366" t="s">
        <v>339</v>
      </c>
      <c r="C154" s="367" t="s">
        <v>350</v>
      </c>
    </row>
    <row r="155" spans="1:3">
      <c r="A155" s="368" t="s">
        <v>512</v>
      </c>
      <c r="B155" s="369" t="s">
        <v>341</v>
      </c>
      <c r="C155" s="370" t="s">
        <v>350</v>
      </c>
    </row>
    <row r="156" spans="1:3">
      <c r="A156" s="365" t="s">
        <v>513</v>
      </c>
      <c r="B156" s="366" t="s">
        <v>339</v>
      </c>
      <c r="C156" s="367" t="s">
        <v>352</v>
      </c>
    </row>
    <row r="157" spans="1:3">
      <c r="A157" s="368" t="s">
        <v>514</v>
      </c>
      <c r="B157" s="369" t="s">
        <v>339</v>
      </c>
      <c r="C157" s="370" t="s">
        <v>356</v>
      </c>
    </row>
    <row r="158" spans="1:3">
      <c r="A158" s="365" t="s">
        <v>515</v>
      </c>
      <c r="B158" s="366" t="s">
        <v>339</v>
      </c>
      <c r="C158" s="367" t="s">
        <v>365</v>
      </c>
    </row>
    <row r="159" spans="1:3">
      <c r="A159" s="368" t="s">
        <v>516</v>
      </c>
      <c r="B159" s="369" t="s">
        <v>339</v>
      </c>
      <c r="C159" s="370" t="s">
        <v>396</v>
      </c>
    </row>
    <row r="160" spans="1:3">
      <c r="A160" s="365" t="s">
        <v>517</v>
      </c>
      <c r="B160" s="366" t="s">
        <v>339</v>
      </c>
      <c r="C160" s="367" t="s">
        <v>518</v>
      </c>
    </row>
    <row r="161" spans="1:3">
      <c r="A161" s="372" t="s">
        <v>519</v>
      </c>
      <c r="B161" s="369" t="s">
        <v>339</v>
      </c>
      <c r="C161" s="370" t="s">
        <v>350</v>
      </c>
    </row>
    <row r="162" spans="1:3">
      <c r="A162" s="365" t="s">
        <v>281</v>
      </c>
      <c r="B162" s="366" t="s">
        <v>339</v>
      </c>
      <c r="C162" s="367" t="s">
        <v>356</v>
      </c>
    </row>
    <row r="163" spans="1:3">
      <c r="A163" s="372" t="s">
        <v>520</v>
      </c>
      <c r="B163" s="369" t="s">
        <v>339</v>
      </c>
      <c r="C163" s="370" t="s">
        <v>361</v>
      </c>
    </row>
    <row r="164" spans="1:3">
      <c r="A164" s="371" t="s">
        <v>521</v>
      </c>
      <c r="B164" s="366" t="s">
        <v>339</v>
      </c>
      <c r="C164" s="367" t="s">
        <v>361</v>
      </c>
    </row>
    <row r="165" spans="1:3">
      <c r="A165" s="372" t="s">
        <v>522</v>
      </c>
      <c r="B165" s="369" t="s">
        <v>339</v>
      </c>
      <c r="C165" s="370" t="s">
        <v>365</v>
      </c>
    </row>
    <row r="166" spans="1:3">
      <c r="A166" s="371" t="s">
        <v>523</v>
      </c>
      <c r="B166" s="366" t="s">
        <v>340</v>
      </c>
      <c r="C166" s="367" t="s">
        <v>356</v>
      </c>
    </row>
    <row r="167" spans="1:3">
      <c r="A167" s="372" t="s">
        <v>524</v>
      </c>
      <c r="B167" s="369" t="s">
        <v>339</v>
      </c>
      <c r="C167" s="370" t="s">
        <v>443</v>
      </c>
    </row>
    <row r="168" spans="1:3">
      <c r="A168" s="361" t="s">
        <v>525</v>
      </c>
      <c r="B168" s="359" t="s">
        <v>340</v>
      </c>
      <c r="C168" s="360" t="s">
        <v>396</v>
      </c>
    </row>
  </sheetData>
  <pageMargins left="0.7" right="0.7" top="0.75" bottom="0.75" header="0.3" footer="0.3"/>
  <pageSetup orientation="portrait" r:id="rId1"/>
  <headerFooter>
    <oddHeader>&amp;C&amp;"Calibri"&amp;10&amp;K000000 Protected B&amp;1#_x000D_</oddHeader>
    <oddFooter>&amp;C_x000D_&amp;1#&amp;"Calibri"&amp;10&amp;K000000 Protected B</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I1900"/>
  <sheetViews>
    <sheetView showGridLines="0" showZeros="0" workbookViewId="0">
      <selection activeCell="E4" sqref="E4"/>
    </sheetView>
  </sheetViews>
  <sheetFormatPr defaultColWidth="9.15234375" defaultRowHeight="12.9"/>
  <cols>
    <col min="1" max="1" width="5.53515625" style="6" customWidth="1"/>
    <col min="2" max="2" width="7.84375" style="6" customWidth="1"/>
    <col min="3" max="3" width="7.84375" style="7" customWidth="1"/>
    <col min="4" max="4" width="8.53515625" style="7" customWidth="1"/>
    <col min="5" max="5" width="11.15234375" style="7" customWidth="1"/>
    <col min="6" max="6" width="11.53515625" style="6" customWidth="1"/>
    <col min="7" max="7" width="12.4609375" style="6" customWidth="1"/>
    <col min="8" max="8" width="11.4609375" style="6" customWidth="1"/>
    <col min="9" max="9" width="12.84375" style="5" customWidth="1"/>
    <col min="10" max="10" width="7.69140625" style="4" customWidth="1"/>
    <col min="11" max="254" width="10.69140625" style="4" customWidth="1"/>
    <col min="255" max="16384" width="9.15234375" style="4"/>
  </cols>
  <sheetData>
    <row r="1" spans="1:9" ht="12.45">
      <c r="A1" s="28" t="s">
        <v>526</v>
      </c>
      <c r="B1" s="10"/>
      <c r="C1" s="11"/>
      <c r="D1" s="11"/>
      <c r="E1" s="11"/>
      <c r="F1" s="10"/>
      <c r="G1" s="10"/>
      <c r="H1" s="10"/>
      <c r="I1" s="9"/>
    </row>
    <row r="2" spans="1:9" ht="12.45">
      <c r="A2" s="10" t="s">
        <v>208</v>
      </c>
      <c r="B2" s="10" t="s">
        <v>208</v>
      </c>
      <c r="C2" s="15" t="s">
        <v>208</v>
      </c>
      <c r="D2" s="27"/>
      <c r="E2" s="11"/>
      <c r="F2" s="10"/>
      <c r="G2" s="8"/>
      <c r="H2" s="8"/>
      <c r="I2" s="9"/>
    </row>
    <row r="3" spans="1:9" ht="12.45">
      <c r="A3" s="8"/>
      <c r="B3" s="8"/>
      <c r="C3" s="14" t="s">
        <v>527</v>
      </c>
      <c r="D3" s="11"/>
      <c r="E3" s="26">
        <v>20000000</v>
      </c>
      <c r="F3" s="24"/>
      <c r="G3" s="19" t="s">
        <v>528</v>
      </c>
      <c r="H3" s="23">
        <f>E6*E7*E9</f>
        <v>3948787.8802890573</v>
      </c>
      <c r="I3" s="15" t="s">
        <v>529</v>
      </c>
    </row>
    <row r="4" spans="1:9" ht="12.45">
      <c r="A4" s="8"/>
      <c r="B4" s="8"/>
      <c r="C4" s="14" t="s">
        <v>530</v>
      </c>
      <c r="D4" s="12"/>
      <c r="E4" s="25">
        <v>2.5000000000000001E-2</v>
      </c>
      <c r="F4" s="24"/>
      <c r="G4" s="19"/>
      <c r="H4" s="23"/>
      <c r="I4" s="9"/>
    </row>
    <row r="5" spans="1:9" ht="12.45">
      <c r="A5" s="8"/>
      <c r="B5" s="8"/>
      <c r="C5" s="14" t="s">
        <v>531</v>
      </c>
      <c r="D5" s="12"/>
      <c r="E5" s="21">
        <v>2</v>
      </c>
      <c r="F5" s="15" t="s">
        <v>532</v>
      </c>
      <c r="G5" s="11"/>
      <c r="H5" s="10"/>
      <c r="I5" s="9"/>
    </row>
    <row r="6" spans="1:9" ht="12.45">
      <c r="A6" s="8"/>
      <c r="B6" s="8"/>
      <c r="C6" s="14" t="s">
        <v>533</v>
      </c>
      <c r="D6" s="12"/>
      <c r="E6" s="21">
        <v>12</v>
      </c>
      <c r="F6" s="15" t="s">
        <v>534</v>
      </c>
      <c r="G6" s="11"/>
      <c r="H6" s="8"/>
      <c r="I6" s="9"/>
    </row>
    <row r="7" spans="1:9" ht="12.45">
      <c r="A7" s="8"/>
      <c r="B7" s="8"/>
      <c r="C7" s="14" t="s">
        <v>535</v>
      </c>
      <c r="D7" s="12"/>
      <c r="E7" s="22">
        <v>5</v>
      </c>
      <c r="F7" s="15" t="s">
        <v>536</v>
      </c>
      <c r="G7" s="11"/>
      <c r="H7" s="8"/>
      <c r="I7" s="9"/>
    </row>
    <row r="8" spans="1:9" ht="12.45">
      <c r="A8" s="8"/>
      <c r="B8" s="8"/>
      <c r="C8" s="14" t="s">
        <v>537</v>
      </c>
      <c r="D8" s="12"/>
      <c r="E8" s="21">
        <v>40</v>
      </c>
      <c r="F8" s="11" t="s">
        <v>536</v>
      </c>
      <c r="G8" s="11"/>
      <c r="H8" s="10"/>
      <c r="I8" s="9"/>
    </row>
    <row r="9" spans="1:9" ht="12.45">
      <c r="A9" s="8"/>
      <c r="B9" s="8"/>
      <c r="C9" s="14" t="s">
        <v>538</v>
      </c>
      <c r="D9" s="12"/>
      <c r="E9" s="20">
        <f>(E3*(((1+E4/E5)^(E5/E6))-1)/((1-(1+E4/E5)^(-E8*E5))))</f>
        <v>65813.131338150954</v>
      </c>
      <c r="F9" s="19" t="s">
        <v>539</v>
      </c>
      <c r="G9" s="13">
        <v>0</v>
      </c>
      <c r="H9" s="8"/>
      <c r="I9" s="9"/>
    </row>
    <row r="10" spans="1:9" ht="12.45">
      <c r="A10" s="8"/>
      <c r="B10" s="8"/>
      <c r="C10" s="14" t="s">
        <v>540</v>
      </c>
      <c r="D10" s="12"/>
      <c r="E10" s="18">
        <f>((1+E4/E5)^(E5/E6))-1</f>
        <v>2.0725647992037022E-3</v>
      </c>
      <c r="F10" s="8"/>
      <c r="G10" s="17" t="s">
        <v>541</v>
      </c>
      <c r="H10" s="16"/>
      <c r="I10" s="9"/>
    </row>
    <row r="11" spans="1:9" ht="12.45">
      <c r="A11" s="10"/>
      <c r="B11" s="15"/>
      <c r="C11" s="14" t="s">
        <v>542</v>
      </c>
      <c r="D11" s="11"/>
      <c r="E11" s="13">
        <f>E9*12</f>
        <v>789757.5760578115</v>
      </c>
      <c r="F11" s="10"/>
      <c r="G11" s="10"/>
      <c r="H11" s="10"/>
      <c r="I11" s="9"/>
    </row>
    <row r="12" spans="1:9" ht="12.45">
      <c r="A12" s="10"/>
      <c r="B12" s="15"/>
      <c r="C12" s="14"/>
      <c r="D12" s="11"/>
      <c r="E12" s="13"/>
      <c r="F12" s="10"/>
      <c r="G12" s="10"/>
      <c r="H12" s="10"/>
      <c r="I12" s="9"/>
    </row>
    <row r="13" spans="1:9" s="8" customFormat="1" ht="12.45"/>
    <row r="14" spans="1:9" s="8" customFormat="1" ht="12.45"/>
    <row r="15" spans="1:9" s="8" customFormat="1" ht="12.45"/>
    <row r="16" spans="1:9" s="8" customFormat="1" ht="12.45"/>
    <row r="17" s="8" customFormat="1" ht="12.45"/>
    <row r="18" s="8" customFormat="1" ht="12.45"/>
    <row r="19" s="8" customFormat="1" ht="12.45"/>
    <row r="20" s="8" customFormat="1" ht="12.45"/>
    <row r="21" s="8" customFormat="1" ht="12.45"/>
    <row r="22" s="8" customFormat="1" ht="12.45"/>
    <row r="23" s="8" customFormat="1" ht="12.45"/>
    <row r="24" s="8" customFormat="1" ht="12.45"/>
    <row r="25" s="8" customFormat="1" ht="12.45"/>
    <row r="26" s="8" customFormat="1" ht="12.45"/>
    <row r="27" s="8" customFormat="1" ht="12.45"/>
    <row r="28" s="8" customFormat="1" ht="12.45"/>
    <row r="29" s="8" customFormat="1" ht="12.45"/>
    <row r="30" s="8" customFormat="1" ht="12.45"/>
    <row r="31" s="8" customFormat="1" ht="12.45"/>
    <row r="32" s="8" customFormat="1" ht="12.45"/>
    <row r="33" s="8" customFormat="1" ht="12.45"/>
    <row r="34" s="8" customFormat="1" ht="12.45"/>
    <row r="35" s="8" customFormat="1" ht="12.45"/>
    <row r="36" s="8" customFormat="1" ht="12.45"/>
    <row r="37" s="8" customFormat="1" ht="12.45"/>
    <row r="38" s="8" customFormat="1" ht="12.45"/>
    <row r="39" s="8" customFormat="1" ht="12.45"/>
    <row r="40" s="8" customFormat="1" ht="12.45"/>
    <row r="41" s="8" customFormat="1" ht="12.45"/>
    <row r="42" s="8" customFormat="1" ht="12.45"/>
    <row r="43" s="8" customFormat="1" ht="12.45"/>
    <row r="44" s="8" customFormat="1" ht="12.45"/>
    <row r="45" s="8" customFormat="1" ht="12.45"/>
    <row r="46" s="8" customFormat="1" ht="12.45"/>
    <row r="47" s="8" customFormat="1" ht="12.45"/>
    <row r="48" s="8" customFormat="1" ht="12.45"/>
    <row r="49" s="8" customFormat="1" ht="12.45"/>
    <row r="50" s="8" customFormat="1" ht="12.45"/>
    <row r="51" s="8" customFormat="1" ht="12.45"/>
    <row r="52" s="8" customFormat="1" ht="12.45"/>
    <row r="53" s="8" customFormat="1" ht="12.45"/>
    <row r="54" s="8" customFormat="1" ht="12.45"/>
    <row r="55" s="8" customFormat="1" ht="12.45"/>
    <row r="56" s="8" customFormat="1" ht="12.45"/>
    <row r="57" s="8" customFormat="1" ht="12.45"/>
    <row r="58" s="8" customFormat="1" ht="12.45"/>
    <row r="59" s="8" customFormat="1" ht="12.45"/>
    <row r="60" s="8" customFormat="1" ht="12.45"/>
    <row r="61" s="8" customFormat="1" ht="12.45"/>
    <row r="62" s="8" customFormat="1" ht="12.45"/>
    <row r="63" s="8" customFormat="1" ht="12.45"/>
    <row r="64" s="8" customFormat="1" ht="12.45"/>
    <row r="65" s="8" customFormat="1" ht="12.45"/>
    <row r="66" s="8" customFormat="1" ht="12.45"/>
    <row r="67" s="8" customFormat="1" ht="12.45"/>
    <row r="68" s="8" customFormat="1" ht="12.45"/>
    <row r="69" s="8" customFormat="1" ht="12.45"/>
    <row r="70" s="8" customFormat="1" ht="12.45"/>
    <row r="71" s="8" customFormat="1" ht="12.45"/>
    <row r="72" s="8" customFormat="1" ht="12.45"/>
    <row r="73" s="8" customFormat="1" ht="12.45"/>
    <row r="74" s="8" customFormat="1" ht="12.45"/>
    <row r="75" s="8" customFormat="1" ht="12.45"/>
    <row r="76" s="8" customFormat="1" ht="12.45"/>
    <row r="77" s="8" customFormat="1" ht="12.45"/>
    <row r="78" s="8" customFormat="1" ht="12.45"/>
    <row r="79" s="8" customFormat="1" ht="12.45"/>
    <row r="80" s="8" customFormat="1" ht="12.45"/>
    <row r="81" s="8" customFormat="1" ht="12.45"/>
    <row r="82" s="8" customFormat="1" ht="12.45"/>
    <row r="83" s="8" customFormat="1" ht="12.45"/>
    <row r="84" s="8" customFormat="1" ht="12.45"/>
    <row r="85" s="8" customFormat="1" ht="12.45"/>
    <row r="86" s="8" customFormat="1" ht="12.45"/>
    <row r="87" s="8" customFormat="1" ht="12.45"/>
    <row r="88" s="8" customFormat="1" ht="12.45"/>
    <row r="89" s="8" customFormat="1" ht="12.45"/>
    <row r="90" s="8" customFormat="1" ht="12.45"/>
    <row r="91" s="8" customFormat="1" ht="12.45"/>
    <row r="92" s="8" customFormat="1" ht="12.45"/>
    <row r="93" s="8" customFormat="1" ht="12.45"/>
    <row r="94" s="8" customFormat="1" ht="12.45"/>
    <row r="95" s="8" customFormat="1" ht="12.45"/>
    <row r="96" s="8" customFormat="1" ht="12.45"/>
    <row r="97" s="8" customFormat="1" ht="12.45"/>
    <row r="98" s="8" customFormat="1" ht="12.45"/>
    <row r="99" s="8" customFormat="1" ht="12.45"/>
    <row r="100" s="8" customFormat="1" ht="12.45"/>
    <row r="101" s="8" customFormat="1" ht="12.45"/>
    <row r="102" s="8" customFormat="1" ht="12.45"/>
    <row r="103" s="8" customFormat="1" ht="12.45"/>
    <row r="104" s="8" customFormat="1" ht="12.45"/>
    <row r="105" s="8" customFormat="1" ht="12.45"/>
    <row r="106" s="8" customFormat="1" ht="12.45"/>
    <row r="107" s="8" customFormat="1" ht="12.45"/>
    <row r="108" s="8" customFormat="1" ht="12.45"/>
    <row r="109" s="8" customFormat="1" ht="12.45"/>
    <row r="110" s="8" customFormat="1" ht="12.45"/>
    <row r="111" s="8" customFormat="1" ht="12.45"/>
    <row r="112" s="8" customFormat="1" ht="12.45"/>
    <row r="113" s="8" customFormat="1" ht="12.45"/>
    <row r="114" s="8" customFormat="1" ht="12.45"/>
    <row r="115" s="8" customFormat="1" ht="12.45"/>
    <row r="116" s="8" customFormat="1" ht="12.45"/>
    <row r="117" s="8" customFormat="1" ht="12.45"/>
    <row r="118" s="8" customFormat="1" ht="12.45"/>
    <row r="119" s="8" customFormat="1" ht="12.45"/>
    <row r="120" s="8" customFormat="1" ht="12.45"/>
    <row r="121" s="8" customFormat="1" ht="12.45"/>
    <row r="122" s="8" customFormat="1" ht="12.45"/>
    <row r="123" s="8" customFormat="1" ht="12.45"/>
    <row r="124" s="8" customFormat="1" ht="12.45"/>
    <row r="125" s="8" customFormat="1" ht="12.45"/>
    <row r="126" s="8" customFormat="1" ht="12.45"/>
    <row r="127" s="8" customFormat="1" ht="12.45"/>
    <row r="128" s="8" customFormat="1" ht="12.45"/>
    <row r="129" s="8" customFormat="1" ht="12.45"/>
    <row r="130" s="8" customFormat="1" ht="12.45"/>
    <row r="131" s="8" customFormat="1" ht="12.45"/>
    <row r="132" s="8" customFormat="1" ht="12.45"/>
    <row r="133" s="8" customFormat="1" ht="12.45"/>
    <row r="134" s="8" customFormat="1" ht="12.45"/>
    <row r="135" s="8" customFormat="1" ht="12.45"/>
    <row r="136" s="8" customFormat="1" ht="12.45"/>
    <row r="137" s="8" customFormat="1" ht="12.45"/>
    <row r="138" s="8" customFormat="1" ht="12.45"/>
    <row r="139" s="8" customFormat="1" ht="12.45"/>
    <row r="140" s="8" customFormat="1" ht="12.45"/>
    <row r="141" s="8" customFormat="1" ht="12.45"/>
    <row r="142" s="8" customFormat="1" ht="12.45"/>
    <row r="143" s="8" customFormat="1" ht="12.45"/>
    <row r="144" s="8" customFormat="1" ht="12.45"/>
    <row r="145" s="8" customFormat="1" ht="12.45"/>
    <row r="146" s="8" customFormat="1" ht="12.45"/>
    <row r="147" s="8" customFormat="1" ht="12.45"/>
    <row r="148" s="8" customFormat="1" ht="12.45"/>
    <row r="149" s="8" customFormat="1" ht="12.45"/>
    <row r="150" s="8" customFormat="1" ht="12.45"/>
    <row r="151" s="8" customFormat="1" ht="12.45"/>
    <row r="152" s="8" customFormat="1" ht="12.45"/>
    <row r="153" s="8" customFormat="1" ht="12.45"/>
    <row r="154" s="8" customFormat="1" ht="12.45"/>
    <row r="155" s="8" customFormat="1" ht="12.45"/>
    <row r="156" s="8" customFormat="1" ht="12.45"/>
    <row r="157" s="8" customFormat="1" ht="12.45"/>
    <row r="158" s="8" customFormat="1" ht="12.45"/>
    <row r="159" s="8" customFormat="1" ht="12.45"/>
    <row r="160" s="8" customFormat="1" ht="12.45"/>
    <row r="161" s="8" customFormat="1" ht="12.45"/>
    <row r="162" s="8" customFormat="1" ht="12.45"/>
    <row r="163" s="8" customFormat="1" ht="12.45"/>
    <row r="164" s="8" customFormat="1" ht="12.45"/>
    <row r="165" s="8" customFormat="1" ht="12.45"/>
    <row r="166" s="8" customFormat="1" ht="12.45"/>
    <row r="167" s="8" customFormat="1" ht="12.45"/>
    <row r="168" s="8" customFormat="1" ht="12.45"/>
    <row r="169" s="8" customFormat="1" ht="12.45"/>
    <row r="170" s="8" customFormat="1" ht="12.45"/>
    <row r="171" s="8" customFormat="1" ht="12.45"/>
    <row r="172" s="8" customFormat="1" ht="12.45"/>
    <row r="173" s="8" customFormat="1" ht="12.45"/>
    <row r="174" s="8" customFormat="1" ht="12.45"/>
    <row r="175" s="8" customFormat="1" ht="12.45"/>
    <row r="176" s="8" customFormat="1" ht="12.45"/>
    <row r="177" s="8" customFormat="1" ht="12.45"/>
    <row r="178" s="8" customFormat="1" ht="12.45"/>
    <row r="179" s="8" customFormat="1" ht="12.45"/>
    <row r="180" s="8" customFormat="1" ht="12.45"/>
    <row r="181" s="8" customFormat="1" ht="12.45"/>
    <row r="182" s="8" customFormat="1" ht="12.45"/>
    <row r="183" s="8" customFormat="1" ht="12.45"/>
    <row r="184" s="8" customFormat="1" ht="12.45"/>
    <row r="185" s="8" customFormat="1" ht="12.45"/>
    <row r="186" s="8" customFormat="1" ht="12.45"/>
    <row r="187" s="8" customFormat="1" ht="12.45"/>
    <row r="188" s="8" customFormat="1" ht="12.45"/>
    <row r="189" s="8" customFormat="1" ht="12.45"/>
    <row r="190" s="8" customFormat="1" ht="12.45"/>
    <row r="191" s="8" customFormat="1" ht="12.45"/>
    <row r="192" s="8" customFormat="1" ht="12.45"/>
    <row r="193" s="8" customFormat="1" ht="12.45"/>
    <row r="194" s="8" customFormat="1" ht="12.45"/>
    <row r="195" s="8" customFormat="1" ht="12.45"/>
    <row r="196" s="8" customFormat="1" ht="12.45"/>
    <row r="197" s="8" customFormat="1" ht="12.45"/>
    <row r="198" s="8" customFormat="1" ht="12.45"/>
    <row r="199" s="8" customFormat="1" ht="12.45"/>
    <row r="200" s="8" customFormat="1" ht="12.45"/>
    <row r="201" s="8" customFormat="1" ht="12.45"/>
    <row r="202" s="8" customFormat="1" ht="12.45"/>
    <row r="203" s="8" customFormat="1" ht="12.45"/>
    <row r="204" s="8" customFormat="1" ht="12.45"/>
    <row r="205" s="8" customFormat="1" ht="12.45"/>
    <row r="206" s="8" customFormat="1" ht="12.45"/>
    <row r="207" s="8" customFormat="1" ht="12.45"/>
    <row r="208" s="8" customFormat="1" ht="12.45"/>
    <row r="209" s="8" customFormat="1" ht="12.45"/>
    <row r="210" s="8" customFormat="1" ht="12.45"/>
    <row r="211" s="8" customFormat="1" ht="12.45"/>
    <row r="212" s="8" customFormat="1" ht="12.45"/>
    <row r="213" s="8" customFormat="1" ht="12.45"/>
    <row r="214" s="8" customFormat="1" ht="12.45"/>
    <row r="215" s="8" customFormat="1" ht="12.45"/>
    <row r="216" s="8" customFormat="1" ht="12.45"/>
    <row r="217" s="8" customFormat="1" ht="12.45"/>
    <row r="218" s="8" customFormat="1" ht="12.45"/>
    <row r="219" s="8" customFormat="1" ht="12.45"/>
    <row r="220" s="8" customFormat="1" ht="12.45"/>
    <row r="221" s="8" customFormat="1" ht="12.45"/>
    <row r="222" s="8" customFormat="1" ht="12.45"/>
    <row r="223" s="8" customFormat="1" ht="12.45"/>
    <row r="224" s="8" customFormat="1" ht="12.45"/>
    <row r="225" s="8" customFormat="1" ht="12.45"/>
    <row r="226" s="8" customFormat="1" ht="12.45"/>
    <row r="227" s="8" customFormat="1" ht="12.45"/>
    <row r="228" s="8" customFormat="1" ht="12.45"/>
    <row r="229" s="8" customFormat="1" ht="12.45"/>
    <row r="230" s="8" customFormat="1" ht="12.45"/>
    <row r="231" s="8" customFormat="1" ht="12.45"/>
    <row r="232" s="8" customFormat="1" ht="12.45"/>
    <row r="233" s="8" customFormat="1" ht="12.45"/>
    <row r="234" s="8" customFormat="1" ht="12.45"/>
    <row r="235" s="8" customFormat="1" ht="12.45"/>
    <row r="236" s="8" customFormat="1" ht="12.45"/>
    <row r="237" s="8" customFormat="1" ht="12.45"/>
    <row r="238" s="8" customFormat="1" ht="12.45"/>
    <row r="239" s="8" customFormat="1" ht="12.45"/>
    <row r="240" s="8" customFormat="1" ht="12.45"/>
    <row r="241" s="8" customFormat="1" ht="12.45"/>
    <row r="242" s="8" customFormat="1" ht="12.45"/>
    <row r="243" s="8" customFormat="1" ht="12.45"/>
    <row r="244" s="8" customFormat="1" ht="12.45"/>
    <row r="245" s="8" customFormat="1" ht="12.45"/>
    <row r="246" s="8" customFormat="1" ht="12.45"/>
    <row r="247" s="8" customFormat="1" ht="12.45"/>
    <row r="248" s="8" customFormat="1" ht="12.45"/>
    <row r="249" s="8" customFormat="1" ht="12.45"/>
    <row r="250" s="8" customFormat="1" ht="12.45"/>
    <row r="251" s="8" customFormat="1" ht="12.45"/>
    <row r="252" s="8" customFormat="1" ht="12.45"/>
    <row r="253" s="8" customFormat="1" ht="12.45"/>
    <row r="254" s="8" customFormat="1" ht="12.45"/>
    <row r="255" s="8" customFormat="1" ht="12.45"/>
    <row r="256" s="8" customFormat="1" ht="12.45"/>
    <row r="257" s="8" customFormat="1" ht="12.45"/>
    <row r="258" s="8" customFormat="1" ht="12.45"/>
    <row r="259" s="8" customFormat="1" ht="12.45"/>
    <row r="260" s="8" customFormat="1" ht="12.45"/>
    <row r="261" s="8" customFormat="1" ht="12.45"/>
    <row r="262" s="8" customFormat="1" ht="12.45"/>
    <row r="263" s="8" customFormat="1" ht="12.45"/>
    <row r="264" s="8" customFormat="1" ht="12.45"/>
    <row r="265" s="8" customFormat="1" ht="12.45"/>
    <row r="266" s="8" customFormat="1" ht="12.45"/>
    <row r="267" s="8" customFormat="1" ht="12.45"/>
    <row r="268" s="8" customFormat="1" ht="12.45"/>
    <row r="269" s="8" customFormat="1" ht="12.45"/>
    <row r="270" s="8" customFormat="1" ht="12.45"/>
    <row r="271" s="8" customFormat="1" ht="12.45"/>
    <row r="272" s="8" customFormat="1" ht="12.45"/>
    <row r="273" s="8" customFormat="1" ht="12.45"/>
    <row r="274" s="8" customFormat="1" ht="12.45"/>
    <row r="275" s="8" customFormat="1" ht="12.45"/>
    <row r="276" s="8" customFormat="1" ht="12.45"/>
    <row r="277" s="8" customFormat="1" ht="12.45"/>
    <row r="278" s="8" customFormat="1" ht="12.45"/>
    <row r="279" s="8" customFormat="1" ht="12.45"/>
    <row r="280" s="8" customFormat="1" ht="12.45"/>
    <row r="281" s="8" customFormat="1" ht="12.45"/>
    <row r="282" s="8" customFormat="1" ht="12.45"/>
    <row r="283" s="8" customFormat="1" ht="12.45"/>
    <row r="284" s="8" customFormat="1" ht="12.45"/>
    <row r="285" s="8" customFormat="1" ht="12.45"/>
    <row r="286" s="8" customFormat="1" ht="12.45"/>
    <row r="287" s="8" customFormat="1" ht="12.45"/>
    <row r="288" s="8" customFormat="1" ht="12.45"/>
    <row r="289" s="8" customFormat="1" ht="12.45"/>
    <row r="290" s="8" customFormat="1" ht="12.45"/>
    <row r="291" s="8" customFormat="1" ht="12.45"/>
    <row r="292" s="8" customFormat="1" ht="12.45"/>
    <row r="293" s="8" customFormat="1" ht="12.45"/>
    <row r="294" s="8" customFormat="1" ht="12.45"/>
    <row r="295" s="8" customFormat="1" ht="12.45"/>
    <row r="296" s="8" customFormat="1" ht="12.45"/>
    <row r="297" s="8" customFormat="1" ht="12.45"/>
    <row r="298" s="8" customFormat="1" ht="12.45"/>
    <row r="299" s="8" customFormat="1" ht="12.45"/>
    <row r="300" s="8" customFormat="1" ht="12.45"/>
    <row r="301" s="8" customFormat="1" ht="12.45"/>
    <row r="302" s="8" customFormat="1" ht="12.45"/>
    <row r="303" s="8" customFormat="1" ht="12.45"/>
    <row r="304" s="8" customFormat="1" ht="12.45"/>
    <row r="305" s="8" customFormat="1" ht="12.45"/>
    <row r="306" s="8" customFormat="1" ht="12.45"/>
    <row r="307" s="8" customFormat="1" ht="12.45"/>
    <row r="308" s="8" customFormat="1" ht="12.45"/>
    <row r="309" s="8" customFormat="1" ht="12.45"/>
    <row r="310" s="8" customFormat="1" ht="12.45"/>
    <row r="311" s="8" customFormat="1" ht="12.45"/>
    <row r="312" s="8" customFormat="1" ht="12.45"/>
    <row r="313" s="8" customFormat="1" ht="12.45"/>
    <row r="314" s="8" customFormat="1" ht="12.45"/>
    <row r="315" s="8" customFormat="1" ht="12.45"/>
    <row r="316" s="8" customFormat="1" ht="12.45"/>
    <row r="317" s="8" customFormat="1" ht="12.45"/>
    <row r="318" s="8" customFormat="1" ht="12.45"/>
    <row r="319" s="8" customFormat="1" ht="12.45"/>
    <row r="320" s="8" customFormat="1" ht="12.45"/>
    <row r="321" s="8" customFormat="1" ht="12.45"/>
    <row r="322" s="8" customFormat="1" ht="12.45"/>
    <row r="323" s="8" customFormat="1" ht="12.45"/>
    <row r="324" s="8" customFormat="1" ht="12.45"/>
    <row r="325" s="8" customFormat="1" ht="12.45"/>
    <row r="326" s="8" customFormat="1" ht="12.45"/>
    <row r="327" s="8" customFormat="1" ht="12.45"/>
    <row r="328" s="8" customFormat="1" ht="12.45"/>
    <row r="329" s="8" customFormat="1" ht="12.45"/>
    <row r="330" s="8" customFormat="1" ht="12.45"/>
    <row r="331" s="8" customFormat="1" ht="12.45"/>
    <row r="332" s="8" customFormat="1" ht="12.45"/>
    <row r="333" s="8" customFormat="1" ht="12.45"/>
    <row r="334" s="8" customFormat="1" ht="12.45"/>
    <row r="335" s="8" customFormat="1" ht="12.45"/>
    <row r="336" s="8" customFormat="1" ht="12.45"/>
    <row r="337" s="8" customFormat="1" ht="12.45"/>
    <row r="338" s="8" customFormat="1" ht="12.45"/>
    <row r="339" s="8" customFormat="1" ht="12.45"/>
    <row r="340" s="8" customFormat="1" ht="12.45"/>
    <row r="341" s="8" customFormat="1" ht="12.45"/>
    <row r="342" s="8" customFormat="1" ht="12.45"/>
    <row r="343" s="8" customFormat="1" ht="12.45"/>
    <row r="344" s="8" customFormat="1" ht="12.45"/>
    <row r="345" s="8" customFormat="1" ht="12.45"/>
    <row r="346" s="8" customFormat="1" ht="12.45"/>
    <row r="347" s="8" customFormat="1" ht="12.45"/>
    <row r="348" s="8" customFormat="1" ht="12.45"/>
    <row r="349" s="8" customFormat="1" ht="12.45"/>
    <row r="350" s="8" customFormat="1" ht="12.45"/>
    <row r="351" s="8" customFormat="1" ht="12.45"/>
    <row r="352" s="8" customFormat="1" ht="12.45"/>
    <row r="353" s="8" customFormat="1" ht="12.45"/>
    <row r="354" s="8" customFormat="1" ht="12.45"/>
    <row r="355" s="8" customFormat="1" ht="12.45"/>
    <row r="356" s="8" customFormat="1" ht="12.45"/>
    <row r="357" s="8" customFormat="1" ht="12.45"/>
    <row r="358" s="8" customFormat="1" ht="12.45"/>
    <row r="359" s="8" customFormat="1" ht="12.45"/>
    <row r="360" s="8" customFormat="1" ht="12.45"/>
    <row r="361" s="8" customFormat="1" ht="12.45"/>
    <row r="362" s="8" customFormat="1" ht="12.45"/>
    <row r="363" s="8" customFormat="1" ht="12.45"/>
    <row r="364" s="8" customFormat="1" ht="12.45"/>
    <row r="365" s="8" customFormat="1" ht="12.45"/>
    <row r="366" s="8" customFormat="1" ht="12.45"/>
    <row r="367" s="8" customFormat="1" ht="12.45"/>
    <row r="368" s="8" customFormat="1" ht="12.45"/>
    <row r="369" s="8" customFormat="1" ht="12.45"/>
    <row r="370" s="8" customFormat="1" ht="12.45"/>
    <row r="371" s="8" customFormat="1" ht="12.45"/>
    <row r="372" s="8" customFormat="1" ht="12.45"/>
    <row r="373" s="8" customFormat="1" ht="12.45"/>
    <row r="374" s="8" customFormat="1" ht="12.45"/>
    <row r="375" s="8" customFormat="1" ht="12.45"/>
    <row r="376" s="8" customFormat="1" ht="12.45"/>
    <row r="377" s="8" customFormat="1" ht="12.45"/>
    <row r="378" s="8" customFormat="1" ht="12.45"/>
    <row r="379" s="8" customFormat="1" ht="12.45"/>
    <row r="380" s="8" customFormat="1" ht="12.45"/>
    <row r="381" s="8" customFormat="1" ht="12.45"/>
    <row r="382" s="8" customFormat="1" ht="12.45"/>
    <row r="383" s="8" customFormat="1" ht="12.45"/>
    <row r="384" s="8" customFormat="1" ht="12.45"/>
    <row r="385" s="8" customFormat="1" ht="12.45"/>
    <row r="386" s="8" customFormat="1" ht="12.45"/>
    <row r="387" s="8" customFormat="1" ht="12.45"/>
    <row r="388" s="8" customFormat="1" ht="12.45"/>
    <row r="389" s="8" customFormat="1" ht="12.45"/>
    <row r="390" s="8" customFormat="1" ht="12.45"/>
    <row r="391" s="8" customFormat="1" ht="12.45"/>
    <row r="392" s="8" customFormat="1" ht="12.45"/>
    <row r="393" s="8" customFormat="1" ht="12.45"/>
    <row r="394" s="8" customFormat="1" ht="12.45"/>
    <row r="395" s="8" customFormat="1" ht="12.45"/>
    <row r="396" s="8" customFormat="1" ht="12.45"/>
    <row r="397" s="8" customFormat="1" ht="12.45"/>
    <row r="398" s="8" customFormat="1" ht="12.45"/>
    <row r="399" s="8" customFormat="1" ht="12.45"/>
    <row r="400" s="8" customFormat="1" ht="12.45"/>
    <row r="401" s="8" customFormat="1" ht="12.45"/>
    <row r="402" s="8" customFormat="1" ht="12.45"/>
    <row r="403" s="8" customFormat="1" ht="12.45"/>
    <row r="404" s="8" customFormat="1" ht="12.45"/>
    <row r="405" s="8" customFormat="1" ht="12.45"/>
    <row r="406" s="8" customFormat="1" ht="12.45"/>
    <row r="407" s="8" customFormat="1" ht="12.45"/>
    <row r="408" s="8" customFormat="1" ht="12.45"/>
    <row r="409" s="8" customFormat="1" ht="12.45"/>
    <row r="410" s="8" customFormat="1" ht="12.45"/>
    <row r="411" s="8" customFormat="1" ht="12.45"/>
    <row r="412" s="8" customFormat="1" ht="12.45"/>
    <row r="413" s="8" customFormat="1" ht="12.45"/>
    <row r="414" s="8" customFormat="1" ht="12.45"/>
    <row r="415" s="8" customFormat="1" ht="12.45"/>
    <row r="416" s="8" customFormat="1" ht="12.45"/>
    <row r="417" s="8" customFormat="1" ht="12.45"/>
    <row r="418" s="8" customFormat="1" ht="12.45"/>
    <row r="419" s="8" customFormat="1" ht="12.45"/>
    <row r="420" s="8" customFormat="1" ht="12.45"/>
    <row r="421" s="8" customFormat="1" ht="12.45"/>
    <row r="422" s="8" customFormat="1" ht="12.45"/>
    <row r="423" s="8" customFormat="1" ht="12.45"/>
    <row r="424" s="8" customFormat="1" ht="12.45"/>
    <row r="425" s="8" customFormat="1" ht="12.45"/>
    <row r="426" s="8" customFormat="1" ht="12.45"/>
    <row r="427" s="8" customFormat="1" ht="12.45"/>
    <row r="428" s="8" customFormat="1" ht="12.45"/>
    <row r="429" s="8" customFormat="1" ht="12.45"/>
    <row r="430" s="8" customFormat="1" ht="12.45"/>
    <row r="431" s="8" customFormat="1" ht="12.45"/>
    <row r="432" s="8" customFormat="1" ht="12.45"/>
    <row r="433" s="8" customFormat="1" ht="12.45"/>
    <row r="434" s="8" customFormat="1" ht="12.45"/>
    <row r="435" s="8" customFormat="1" ht="12.45"/>
    <row r="436" s="8" customFormat="1" ht="12.45"/>
    <row r="437" s="8" customFormat="1" ht="12.45"/>
    <row r="438" s="8" customFormat="1" ht="12.45"/>
    <row r="439" s="8" customFormat="1" ht="12.45"/>
    <row r="440" s="8" customFormat="1" ht="12.45"/>
    <row r="441" s="8" customFormat="1" ht="12.45"/>
    <row r="442" s="8" customFormat="1" ht="12.45"/>
    <row r="443" s="8" customFormat="1" ht="12.45"/>
    <row r="444" s="8" customFormat="1" ht="12.45"/>
    <row r="445" s="8" customFormat="1" ht="12.45"/>
    <row r="446" s="8" customFormat="1" ht="12.45"/>
    <row r="447" s="8" customFormat="1" ht="12.45"/>
    <row r="448" s="8" customFormat="1" ht="12.45"/>
    <row r="449" s="8" customFormat="1" ht="12.45"/>
    <row r="450" s="8" customFormat="1" ht="12.45"/>
    <row r="451" s="8" customFormat="1" ht="12.45"/>
    <row r="452" s="8" customFormat="1" ht="12.45"/>
    <row r="453" s="8" customFormat="1" ht="12.45"/>
    <row r="454" s="8" customFormat="1" ht="12.45"/>
    <row r="455" s="8" customFormat="1" ht="12.45"/>
    <row r="456" s="8" customFormat="1" ht="12.45"/>
    <row r="457" s="8" customFormat="1" ht="12.45"/>
    <row r="458" s="8" customFormat="1" ht="12.45"/>
    <row r="459" s="8" customFormat="1" ht="12.45"/>
    <row r="460" s="8" customFormat="1" ht="12.45"/>
    <row r="461" s="8" customFormat="1" ht="12.45"/>
    <row r="462" s="8" customFormat="1" ht="12.45"/>
    <row r="463" s="8" customFormat="1" ht="12.45"/>
    <row r="464" s="8" customFormat="1" ht="12.45"/>
    <row r="465" s="8" customFormat="1" ht="12.45"/>
    <row r="466" s="8" customFormat="1" ht="12.45"/>
    <row r="467" s="8" customFormat="1" ht="12.45"/>
    <row r="468" s="8" customFormat="1" ht="12.45"/>
    <row r="469" s="8" customFormat="1" ht="12.45"/>
    <row r="470" s="8" customFormat="1" ht="12.45"/>
    <row r="471" s="8" customFormat="1" ht="12.45"/>
    <row r="472" s="8" customFormat="1" ht="12.45"/>
    <row r="473" s="8" customFormat="1" ht="12.45"/>
    <row r="474" s="8" customFormat="1" ht="12.45"/>
    <row r="475" s="8" customFormat="1" ht="12.45"/>
    <row r="476" s="8" customFormat="1" ht="12.45"/>
    <row r="477" s="8" customFormat="1" ht="12.45"/>
    <row r="478" s="8" customFormat="1" ht="12.45"/>
    <row r="479" s="8" customFormat="1" ht="12.45"/>
    <row r="480" s="8" customFormat="1" ht="12.45"/>
    <row r="481" s="8" customFormat="1" ht="12.45"/>
    <row r="482" s="8" customFormat="1" ht="12.45"/>
    <row r="483" s="8" customFormat="1" ht="12.45"/>
    <row r="484" s="8" customFormat="1" ht="12.45"/>
    <row r="485" s="8" customFormat="1" ht="12.45"/>
    <row r="486" s="8" customFormat="1" ht="12.45"/>
    <row r="487" s="8" customFormat="1" ht="12.45"/>
    <row r="488" s="8" customFormat="1" ht="12.45"/>
    <row r="489" s="8" customFormat="1" ht="12.45"/>
    <row r="490" s="8" customFormat="1" ht="12.45"/>
    <row r="491" s="8" customFormat="1" ht="12.45"/>
    <row r="492" s="8" customFormat="1" ht="12.45"/>
    <row r="493" s="8" customFormat="1" ht="12.45"/>
    <row r="494" s="8" customFormat="1" ht="12.45"/>
    <row r="495" s="8" customFormat="1" ht="12.45"/>
    <row r="496" s="8" customFormat="1" ht="12.45"/>
    <row r="497" s="8" customFormat="1" ht="12.45"/>
    <row r="498" s="8" customFormat="1" ht="12.45"/>
    <row r="499" s="8" customFormat="1" ht="12.45"/>
    <row r="500" s="8" customFormat="1" ht="12.45"/>
    <row r="501" s="8" customFormat="1" ht="12.45"/>
    <row r="502" s="8" customFormat="1" ht="12.45"/>
    <row r="503" s="8" customFormat="1" ht="12.45"/>
    <row r="504" s="8" customFormat="1" ht="12.45"/>
    <row r="505" s="8" customFormat="1" ht="12.45"/>
    <row r="506" s="8" customFormat="1" ht="12.45"/>
    <row r="507" s="8" customFormat="1" ht="12.45"/>
    <row r="508" s="8" customFormat="1" ht="12.45"/>
    <row r="509" s="8" customFormat="1" ht="12.45"/>
    <row r="510" s="8" customFormat="1" ht="12.45"/>
    <row r="511" s="8" customFormat="1" ht="12.45"/>
    <row r="512" s="8" customFormat="1" ht="12.45"/>
    <row r="513" s="8" customFormat="1" ht="12.45"/>
    <row r="514" s="8" customFormat="1" ht="12.45"/>
    <row r="515" s="8" customFormat="1" ht="12.45"/>
    <row r="516" s="8" customFormat="1" ht="12.45"/>
    <row r="517" s="8" customFormat="1" ht="12.45"/>
    <row r="518" s="8" customFormat="1" ht="12.45"/>
    <row r="519" s="8" customFormat="1" ht="12.45"/>
    <row r="520" s="8" customFormat="1" ht="12.45"/>
    <row r="521" s="8" customFormat="1" ht="12.45"/>
    <row r="522" s="8" customFormat="1" ht="12.45"/>
    <row r="523" s="8" customFormat="1" ht="12.45"/>
    <row r="524" s="8" customFormat="1" ht="12.45"/>
    <row r="525" s="8" customFormat="1" ht="12.45"/>
    <row r="526" s="8" customFormat="1" ht="12.45"/>
    <row r="527" s="8" customFormat="1" ht="12.45"/>
    <row r="528" s="8" customFormat="1" ht="12.45"/>
    <row r="529" s="8" customFormat="1" ht="12.45"/>
    <row r="530" s="8" customFormat="1" ht="12.45"/>
    <row r="531" s="8" customFormat="1" ht="12.45"/>
    <row r="532" s="8" customFormat="1" ht="12.45"/>
    <row r="533" s="8" customFormat="1" ht="12.45"/>
    <row r="534" s="8" customFormat="1" ht="12.45"/>
    <row r="535" s="8" customFormat="1" ht="12.45"/>
    <row r="536" s="8" customFormat="1" ht="12.45"/>
    <row r="537" s="8" customFormat="1" ht="12.45"/>
    <row r="538" s="8" customFormat="1" ht="12.45"/>
    <row r="539" s="8" customFormat="1" ht="12.45"/>
    <row r="540" s="8" customFormat="1" ht="12.45"/>
    <row r="541" s="8" customFormat="1" ht="12.45"/>
    <row r="542" s="8" customFormat="1" ht="12.45"/>
    <row r="543" s="8" customFormat="1" ht="12.45"/>
    <row r="544" s="8" customFormat="1" ht="12.45"/>
    <row r="545" s="8" customFormat="1" ht="12.45"/>
    <row r="546" s="8" customFormat="1" ht="12.45"/>
    <row r="547" s="8" customFormat="1" ht="12.45"/>
    <row r="548" s="8" customFormat="1" ht="12.45"/>
    <row r="549" s="8" customFormat="1" ht="12.45"/>
    <row r="550" s="8" customFormat="1" ht="12.45"/>
    <row r="551" s="8" customFormat="1" ht="12.45"/>
    <row r="552" s="8" customFormat="1" ht="12.45"/>
    <row r="553" s="8" customFormat="1" ht="12.45"/>
    <row r="554" s="8" customFormat="1" ht="12.45"/>
    <row r="555" s="8" customFormat="1" ht="12.45"/>
    <row r="556" s="8" customFormat="1" ht="12.45"/>
    <row r="557" s="8" customFormat="1" ht="12.45"/>
    <row r="558" s="8" customFormat="1" ht="12.45"/>
    <row r="559" s="8" customFormat="1" ht="12.45"/>
    <row r="560" s="8" customFormat="1" ht="12.45"/>
    <row r="561" s="8" customFormat="1" ht="12.45"/>
    <row r="562" s="8" customFormat="1" ht="12.45"/>
    <row r="563" s="8" customFormat="1" ht="12.45"/>
    <row r="564" s="8" customFormat="1" ht="12.45"/>
    <row r="565" s="8" customFormat="1" ht="12.45"/>
    <row r="566" s="8" customFormat="1" ht="12.45"/>
    <row r="567" s="8" customFormat="1" ht="12.45"/>
    <row r="568" s="8" customFormat="1" ht="12.45"/>
    <row r="569" s="8" customFormat="1" ht="12.45"/>
    <row r="570" s="8" customFormat="1" ht="12.45"/>
    <row r="571" s="8" customFormat="1" ht="12.45"/>
    <row r="572" s="8" customFormat="1" ht="12.45"/>
    <row r="573" s="8" customFormat="1" ht="12.45"/>
    <row r="574" s="8" customFormat="1" ht="12.45"/>
    <row r="575" s="8" customFormat="1" ht="12.45"/>
    <row r="576" s="8" customFormat="1" ht="12.45"/>
    <row r="577" s="8" customFormat="1" ht="12.45"/>
    <row r="578" s="8" customFormat="1" ht="12.45"/>
    <row r="579" s="8" customFormat="1" ht="12.45"/>
    <row r="580" s="8" customFormat="1" ht="12.45"/>
    <row r="581" s="8" customFormat="1" ht="12.45"/>
    <row r="582" s="8" customFormat="1" ht="12.45"/>
    <row r="583" s="8" customFormat="1" ht="12.45"/>
    <row r="584" s="8" customFormat="1" ht="12.45"/>
    <row r="585" s="8" customFormat="1" ht="12.45"/>
    <row r="586" s="8" customFormat="1" ht="12.45"/>
    <row r="587" s="8" customFormat="1" ht="12.45"/>
    <row r="588" s="8" customFormat="1" ht="12.45"/>
    <row r="589" s="8" customFormat="1" ht="12.45"/>
    <row r="590" s="8" customFormat="1" ht="12.45"/>
    <row r="591" s="8" customFormat="1" ht="12.45"/>
    <row r="592" s="8" customFormat="1" ht="12.45"/>
    <row r="593" s="8" customFormat="1" ht="12.45"/>
    <row r="594" s="8" customFormat="1" ht="12.45"/>
    <row r="595" s="8" customFormat="1" ht="12.45"/>
    <row r="596" s="8" customFormat="1" ht="12.45"/>
    <row r="597" s="8" customFormat="1" ht="12.45"/>
    <row r="598" s="8" customFormat="1" ht="12.45"/>
    <row r="599" s="8" customFormat="1" ht="12.45"/>
    <row r="600" s="8" customFormat="1" ht="12.45"/>
    <row r="601" s="8" customFormat="1" ht="12.45"/>
    <row r="602" s="8" customFormat="1" ht="12.45"/>
    <row r="603" s="8" customFormat="1" ht="12.45"/>
    <row r="604" s="8" customFormat="1" ht="12.45"/>
    <row r="605" s="8" customFormat="1" ht="12.45"/>
    <row r="606" s="8" customFormat="1" ht="12.45"/>
    <row r="607" s="8" customFormat="1" ht="12.45"/>
    <row r="608" s="8" customFormat="1" ht="12.45"/>
    <row r="609" s="8" customFormat="1" ht="12.45"/>
    <row r="610" s="8" customFormat="1" ht="12.45"/>
    <row r="611" s="8" customFormat="1" ht="12.45"/>
    <row r="612" s="8" customFormat="1" ht="12.45"/>
    <row r="613" s="8" customFormat="1" ht="12.45"/>
    <row r="614" s="8" customFormat="1" ht="12.45"/>
    <row r="615" s="8" customFormat="1" ht="12.45"/>
    <row r="616" s="8" customFormat="1" ht="12.45"/>
    <row r="617" s="8" customFormat="1" ht="12.45"/>
    <row r="618" s="8" customFormat="1" ht="12.45"/>
    <row r="619" s="8" customFormat="1" ht="12.45"/>
    <row r="620" s="8" customFormat="1" ht="12.45"/>
    <row r="621" s="8" customFormat="1" ht="12.45"/>
    <row r="622" s="8" customFormat="1" ht="12.45"/>
    <row r="623" s="8" customFormat="1" ht="12.45"/>
    <row r="624" s="8" customFormat="1" ht="12.45"/>
    <row r="625" s="8" customFormat="1" ht="12.45"/>
    <row r="626" s="8" customFormat="1" ht="12.45"/>
    <row r="627" s="8" customFormat="1" ht="12.45"/>
    <row r="628" s="8" customFormat="1" ht="12.45"/>
    <row r="629" s="8" customFormat="1" ht="12.45"/>
    <row r="630" s="8" customFormat="1" ht="12.45"/>
    <row r="631" s="8" customFormat="1" ht="12.45"/>
    <row r="632" s="8" customFormat="1" ht="12.45"/>
    <row r="633" s="8" customFormat="1" ht="12.45"/>
    <row r="634" s="8" customFormat="1" ht="12.45"/>
    <row r="635" s="8" customFormat="1" ht="12.45"/>
    <row r="636" s="8" customFormat="1" ht="12.45"/>
    <row r="637" s="8" customFormat="1" ht="12.45"/>
    <row r="638" s="8" customFormat="1" ht="12.45"/>
    <row r="639" s="8" customFormat="1" ht="12.45"/>
    <row r="640" s="8" customFormat="1" ht="12.45"/>
    <row r="641" s="8" customFormat="1" ht="12.45"/>
    <row r="642" s="8" customFormat="1" ht="12.45"/>
    <row r="643" s="8" customFormat="1" ht="12.45"/>
    <row r="644" s="8" customFormat="1" ht="12.45"/>
    <row r="645" s="8" customFormat="1" ht="12.45"/>
    <row r="646" s="8" customFormat="1" ht="12.45"/>
    <row r="647" s="8" customFormat="1" ht="12.45"/>
    <row r="648" s="8" customFormat="1" ht="12.45"/>
    <row r="649" s="8" customFormat="1" ht="12.45"/>
    <row r="650" s="8" customFormat="1" ht="12.45"/>
    <row r="651" s="8" customFormat="1" ht="12.45"/>
    <row r="652" s="8" customFormat="1" ht="12.45"/>
    <row r="653" s="8" customFormat="1" ht="12.45"/>
    <row r="654" s="8" customFormat="1" ht="12.45"/>
    <row r="655" s="8" customFormat="1" ht="12.45"/>
    <row r="656" s="8" customFormat="1" ht="12.45"/>
    <row r="657" s="8" customFormat="1" ht="12.45"/>
    <row r="658" s="8" customFormat="1" ht="12.45"/>
    <row r="659" s="8" customFormat="1" ht="12.45"/>
    <row r="660" s="8" customFormat="1" ht="12.45"/>
    <row r="661" s="8" customFormat="1" ht="12.45"/>
    <row r="662" s="8" customFormat="1" ht="12.45"/>
    <row r="663" s="8" customFormat="1" ht="12.45"/>
    <row r="664" s="8" customFormat="1" ht="12.45"/>
    <row r="665" s="8" customFormat="1" ht="12.45"/>
    <row r="666" s="8" customFormat="1" ht="12.45"/>
    <row r="667" s="8" customFormat="1" ht="12.45"/>
    <row r="668" s="8" customFormat="1" ht="12.45"/>
    <row r="669" s="8" customFormat="1" ht="12.45"/>
    <row r="670" s="8" customFormat="1" ht="12.45"/>
    <row r="671" s="8" customFormat="1" ht="12.45"/>
    <row r="672" s="8" customFormat="1" ht="12.45"/>
    <row r="673" s="8" customFormat="1" ht="12.45"/>
    <row r="674" s="8" customFormat="1" ht="12.45"/>
    <row r="675" s="8" customFormat="1" ht="12.45"/>
    <row r="676" s="8" customFormat="1" ht="12.45"/>
    <row r="677" s="8" customFormat="1" ht="12.45"/>
    <row r="678" s="8" customFormat="1" ht="12.45"/>
    <row r="679" s="8" customFormat="1" ht="12.45"/>
    <row r="680" s="8" customFormat="1" ht="12.45"/>
    <row r="681" s="8" customFormat="1" ht="12.45"/>
    <row r="682" s="8" customFormat="1" ht="12.45"/>
    <row r="683" s="8" customFormat="1" ht="12.45"/>
    <row r="684" s="8" customFormat="1" ht="12.45"/>
    <row r="685" s="8" customFormat="1" ht="12.45"/>
    <row r="686" s="8" customFormat="1" ht="12.45"/>
    <row r="687" s="8" customFormat="1" ht="12.45"/>
    <row r="688" s="8" customFormat="1" ht="12.45"/>
    <row r="689" s="8" customFormat="1" ht="12.45"/>
    <row r="690" s="8" customFormat="1" ht="12.45"/>
    <row r="691" s="8" customFormat="1" ht="12.45"/>
    <row r="692" s="8" customFormat="1" ht="12.45"/>
    <row r="693" s="8" customFormat="1" ht="12.45"/>
    <row r="694" s="8" customFormat="1" ht="12.45"/>
    <row r="695" s="8" customFormat="1" ht="12.45"/>
    <row r="696" s="8" customFormat="1" ht="12.45"/>
    <row r="697" s="8" customFormat="1" ht="12.45"/>
    <row r="698" s="8" customFormat="1" ht="12.45"/>
    <row r="699" s="8" customFormat="1" ht="12.45"/>
    <row r="700" s="8" customFormat="1" ht="12.45"/>
    <row r="701" s="8" customFormat="1" ht="12.45"/>
    <row r="702" s="8" customFormat="1" ht="12.45"/>
    <row r="703" s="8" customFormat="1" ht="12.45"/>
    <row r="704" s="8" customFormat="1" ht="12.45"/>
    <row r="705" s="8" customFormat="1" ht="12.45"/>
    <row r="706" s="8" customFormat="1" ht="12.45"/>
    <row r="707" s="8" customFormat="1" ht="12.45"/>
    <row r="708" s="8" customFormat="1" ht="12.45"/>
    <row r="709" s="8" customFormat="1" ht="12.45"/>
    <row r="710" s="8" customFormat="1" ht="12.45"/>
    <row r="711" s="8" customFormat="1" ht="12.45"/>
    <row r="712" s="8" customFormat="1" ht="12.45"/>
    <row r="713" s="8" customFormat="1" ht="12.45"/>
    <row r="714" s="8" customFormat="1" ht="12.45"/>
    <row r="715" s="8" customFormat="1" ht="12.45"/>
    <row r="716" s="8" customFormat="1" ht="12.45"/>
    <row r="717" s="8" customFormat="1" ht="12.45"/>
    <row r="718" s="8" customFormat="1" ht="12.45"/>
    <row r="719" s="8" customFormat="1" ht="12.45"/>
    <row r="720" s="8" customFormat="1" ht="12.45"/>
    <row r="721" s="8" customFormat="1" ht="12.45"/>
    <row r="722" s="8" customFormat="1" ht="12.45"/>
    <row r="723" s="8" customFormat="1" ht="12.45"/>
    <row r="724" s="8" customFormat="1" ht="12.45"/>
    <row r="725" s="8" customFormat="1" ht="12.45"/>
    <row r="726" s="8" customFormat="1" ht="12.45"/>
    <row r="727" s="8" customFormat="1" ht="12.45"/>
    <row r="728" s="8" customFormat="1" ht="12.45"/>
    <row r="729" s="8" customFormat="1" ht="12.45"/>
    <row r="730" s="8" customFormat="1" ht="12.45"/>
    <row r="731" s="8" customFormat="1" ht="12.45"/>
    <row r="732" s="8" customFormat="1" ht="12.45"/>
    <row r="733" s="8" customFormat="1" ht="12.45"/>
    <row r="734" s="8" customFormat="1" ht="12.45"/>
    <row r="735" s="8" customFormat="1" ht="12.45"/>
    <row r="736" s="8" customFormat="1" ht="12.45"/>
    <row r="737" s="8" customFormat="1" ht="12.45"/>
    <row r="738" s="8" customFormat="1" ht="12.45"/>
    <row r="739" s="8" customFormat="1" ht="12.45"/>
    <row r="740" s="8" customFormat="1" ht="12.45"/>
    <row r="741" s="8" customFormat="1" ht="12.45"/>
    <row r="742" s="8" customFormat="1" ht="12.45"/>
    <row r="743" s="8" customFormat="1" ht="12.45"/>
    <row r="744" s="8" customFormat="1" ht="12.45"/>
    <row r="745" s="8" customFormat="1" ht="12.45"/>
    <row r="746" s="8" customFormat="1" ht="12.45"/>
    <row r="747" s="8" customFormat="1" ht="12.45"/>
    <row r="748" s="8" customFormat="1" ht="12.45"/>
    <row r="749" s="8" customFormat="1" ht="12.45"/>
    <row r="750" s="8" customFormat="1" ht="12.45"/>
    <row r="751" s="8" customFormat="1" ht="12.45"/>
    <row r="752" s="8" customFormat="1" ht="12.45"/>
    <row r="753" s="8" customFormat="1" ht="12.45"/>
    <row r="754" s="8" customFormat="1" ht="12.45"/>
    <row r="755" s="8" customFormat="1" ht="12.45"/>
    <row r="756" s="8" customFormat="1" ht="12.45"/>
    <row r="757" s="8" customFormat="1" ht="12.45"/>
    <row r="758" s="8" customFormat="1" ht="12.45"/>
    <row r="759" s="8" customFormat="1" ht="12.45"/>
    <row r="760" s="8" customFormat="1" ht="12.45"/>
    <row r="761" s="8" customFormat="1" ht="12.45"/>
    <row r="762" s="8" customFormat="1" ht="12.45"/>
    <row r="763" s="8" customFormat="1" ht="12.45"/>
    <row r="764" s="8" customFormat="1" ht="12.45"/>
    <row r="765" s="8" customFormat="1" ht="12.45"/>
    <row r="766" s="8" customFormat="1" ht="12.45"/>
    <row r="767" s="8" customFormat="1" ht="12.45"/>
    <row r="768" s="8" customFormat="1" ht="12.45"/>
    <row r="769" s="8" customFormat="1" ht="12.45"/>
    <row r="770" s="8" customFormat="1" ht="12.45"/>
    <row r="771" s="8" customFormat="1" ht="12.45"/>
    <row r="772" s="8" customFormat="1" ht="12.45"/>
    <row r="773" s="8" customFormat="1" ht="12.45"/>
    <row r="774" s="8" customFormat="1" ht="12.45"/>
    <row r="775" s="8" customFormat="1" ht="12.45"/>
    <row r="776" s="8" customFormat="1" ht="12.45"/>
    <row r="777" s="8" customFormat="1" ht="12.45"/>
    <row r="778" s="8" customFormat="1" ht="12.45"/>
    <row r="779" s="8" customFormat="1" ht="12.45"/>
    <row r="780" s="8" customFormat="1" ht="12.45"/>
    <row r="781" s="8" customFormat="1" ht="12.45"/>
    <row r="782" s="8" customFormat="1" ht="12.45"/>
    <row r="783" s="8" customFormat="1" ht="12.45"/>
    <row r="784" s="8" customFormat="1" ht="12.45"/>
    <row r="785" s="8" customFormat="1" ht="12.45"/>
    <row r="786" s="8" customFormat="1" ht="12.45"/>
    <row r="787" s="8" customFormat="1" ht="12.45"/>
    <row r="788" s="8" customFormat="1" ht="12.45"/>
    <row r="789" s="8" customFormat="1" ht="12.45"/>
    <row r="790" s="8" customFormat="1" ht="12.45"/>
    <row r="791" s="8" customFormat="1" ht="12.45"/>
    <row r="792" s="8" customFormat="1" ht="12.45"/>
    <row r="793" s="8" customFormat="1" ht="12.45"/>
    <row r="794" s="8" customFormat="1" ht="12.45"/>
    <row r="795" s="8" customFormat="1" ht="12.45"/>
    <row r="796" s="8" customFormat="1" ht="12.45"/>
    <row r="797" s="8" customFormat="1" ht="12.45"/>
    <row r="798" s="8" customFormat="1" ht="12.45"/>
    <row r="799" s="8" customFormat="1" ht="12.45"/>
    <row r="800" s="8" customFormat="1" ht="12.45"/>
    <row r="801" s="8" customFormat="1" ht="12.45"/>
    <row r="802" s="8" customFormat="1" ht="12.45"/>
    <row r="803" s="8" customFormat="1" ht="12.45"/>
    <row r="804" s="8" customFormat="1" ht="12.45"/>
    <row r="805" s="8" customFormat="1" ht="12.45"/>
    <row r="806" s="8" customFormat="1" ht="12.45"/>
    <row r="807" s="8" customFormat="1" ht="12.45"/>
    <row r="808" s="8" customFormat="1" ht="12.45"/>
    <row r="809" s="8" customFormat="1" ht="12.45"/>
    <row r="810" s="8" customFormat="1" ht="12.45"/>
    <row r="811" s="8" customFormat="1" ht="12.45"/>
    <row r="812" s="8" customFormat="1" ht="12.45"/>
    <row r="813" s="8" customFormat="1" ht="12.45"/>
    <row r="814" s="8" customFormat="1" ht="12.45"/>
    <row r="815" s="8" customFormat="1" ht="12.45"/>
    <row r="816" s="8" customFormat="1" ht="12.45"/>
    <row r="817" s="8" customFormat="1" ht="12.45"/>
    <row r="818" s="8" customFormat="1" ht="12.45"/>
    <row r="819" s="8" customFormat="1" ht="12.45"/>
    <row r="820" s="8" customFormat="1" ht="12.45"/>
    <row r="821" s="8" customFormat="1" ht="12.45"/>
    <row r="822" s="8" customFormat="1" ht="12.45"/>
    <row r="823" s="8" customFormat="1" ht="12.45"/>
    <row r="824" s="8" customFormat="1" ht="12.45"/>
    <row r="825" s="8" customFormat="1" ht="12.45"/>
    <row r="826" s="8" customFormat="1" ht="12.45"/>
    <row r="827" s="8" customFormat="1" ht="12.45"/>
    <row r="828" s="8" customFormat="1" ht="12.45"/>
    <row r="829" s="8" customFormat="1" ht="12.45"/>
    <row r="830" s="8" customFormat="1" ht="12.45"/>
    <row r="831" s="8" customFormat="1" ht="12.45"/>
    <row r="832" s="8" customFormat="1" ht="12.45"/>
    <row r="833" s="8" customFormat="1" ht="12.45"/>
    <row r="834" s="8" customFormat="1" ht="12.45"/>
    <row r="835" s="8" customFormat="1" ht="12.45"/>
    <row r="836" s="8" customFormat="1" ht="12.45"/>
    <row r="837" s="8" customFormat="1" ht="12.45"/>
    <row r="838" s="8" customFormat="1" ht="12.45"/>
    <row r="839" s="8" customFormat="1" ht="12.45"/>
    <row r="840" s="8" customFormat="1" ht="12.45"/>
    <row r="841" s="8" customFormat="1" ht="12.45"/>
    <row r="842" s="8" customFormat="1" ht="12.45"/>
    <row r="843" s="8" customFormat="1" ht="12.45"/>
    <row r="844" s="8" customFormat="1" ht="12.45"/>
    <row r="845" s="8" customFormat="1" ht="12.45"/>
    <row r="846" s="8" customFormat="1" ht="12.45"/>
    <row r="847" s="8" customFormat="1" ht="12.45"/>
    <row r="848" s="8" customFormat="1" ht="12.45"/>
    <row r="849" s="8" customFormat="1" ht="12.45"/>
    <row r="850" s="8" customFormat="1" ht="12.45"/>
    <row r="851" s="8" customFormat="1" ht="12.45"/>
    <row r="852" s="8" customFormat="1" ht="12.45"/>
    <row r="853" s="8" customFormat="1" ht="12.45"/>
    <row r="854" s="8" customFormat="1" ht="12.45"/>
    <row r="855" s="8" customFormat="1" ht="12.45"/>
    <row r="856" s="8" customFormat="1" ht="12.45"/>
    <row r="857" s="8" customFormat="1" ht="12.45"/>
    <row r="858" s="8" customFormat="1" ht="12.45"/>
    <row r="859" s="8" customFormat="1" ht="12.45"/>
    <row r="860" s="8" customFormat="1" ht="12.45"/>
    <row r="861" s="8" customFormat="1" ht="12.45"/>
    <row r="862" s="8" customFormat="1" ht="12.45"/>
    <row r="863" s="8" customFormat="1" ht="12.45"/>
    <row r="864" s="8" customFormat="1" ht="12.45"/>
    <row r="865" s="8" customFormat="1" ht="12.45"/>
    <row r="866" s="8" customFormat="1" ht="12.45"/>
    <row r="867" s="8" customFormat="1" ht="12.45"/>
    <row r="868" s="8" customFormat="1" ht="12.45"/>
    <row r="869" s="8" customFormat="1" ht="12.45"/>
    <row r="870" s="8" customFormat="1" ht="12.45"/>
    <row r="871" s="8" customFormat="1" ht="12.45"/>
    <row r="872" s="8" customFormat="1" ht="12.45"/>
    <row r="873" s="8" customFormat="1" ht="12.45"/>
    <row r="874" s="8" customFormat="1" ht="12.45"/>
    <row r="875" s="8" customFormat="1" ht="12.45"/>
    <row r="876" s="8" customFormat="1" ht="12.45"/>
    <row r="877" s="8" customFormat="1" ht="12.45"/>
    <row r="878" s="8" customFormat="1" ht="12.45"/>
    <row r="879" s="8" customFormat="1" ht="12.45"/>
    <row r="880" s="8" customFormat="1" ht="12.45"/>
    <row r="881" s="8" customFormat="1" ht="12.45"/>
    <row r="882" s="8" customFormat="1" ht="12.45"/>
    <row r="883" s="8" customFormat="1" ht="12.45"/>
    <row r="884" s="8" customFormat="1" ht="12.45"/>
    <row r="885" s="8" customFormat="1" ht="12.45"/>
    <row r="886" s="8" customFormat="1" ht="12.45"/>
    <row r="887" s="8" customFormat="1" ht="12.45"/>
    <row r="888" s="8" customFormat="1" ht="12.45"/>
    <row r="889" s="8" customFormat="1" ht="12.45"/>
    <row r="890" s="8" customFormat="1" ht="12.45"/>
    <row r="891" s="8" customFormat="1" ht="12.45"/>
    <row r="892" s="8" customFormat="1" ht="12.45"/>
    <row r="893" s="8" customFormat="1" ht="12.45"/>
    <row r="894" s="8" customFormat="1" ht="12.45"/>
    <row r="895" s="8" customFormat="1" ht="12.45"/>
    <row r="896" s="8" customFormat="1" ht="12.45"/>
    <row r="897" s="8" customFormat="1" ht="12.45"/>
    <row r="898" s="8" customFormat="1" ht="12.45"/>
    <row r="899" s="8" customFormat="1" ht="12.45"/>
    <row r="900" s="8" customFormat="1" ht="12.45"/>
    <row r="901" s="8" customFormat="1" ht="12.45"/>
    <row r="902" s="8" customFormat="1" ht="12.45"/>
    <row r="903" s="8" customFormat="1" ht="12.45"/>
    <row r="904" s="8" customFormat="1" ht="12.45"/>
    <row r="905" s="8" customFormat="1" ht="12.45"/>
    <row r="906" s="8" customFormat="1" ht="12.45"/>
    <row r="907" s="8" customFormat="1" ht="12.45"/>
    <row r="908" s="8" customFormat="1" ht="12.45"/>
    <row r="909" s="8" customFormat="1" ht="12.45"/>
    <row r="910" s="8" customFormat="1" ht="12.45"/>
    <row r="911" s="8" customFormat="1" ht="12.45"/>
    <row r="912" s="8" customFormat="1" ht="12.45"/>
    <row r="913" s="8" customFormat="1" ht="12.45"/>
    <row r="914" s="8" customFormat="1" ht="12.45"/>
    <row r="915" s="8" customFormat="1" ht="12.45"/>
    <row r="916" s="8" customFormat="1" ht="12.45"/>
    <row r="917" s="8" customFormat="1" ht="12.45"/>
    <row r="918" s="8" customFormat="1" ht="12.45"/>
    <row r="919" s="8" customFormat="1" ht="12.45"/>
    <row r="920" s="8" customFormat="1" ht="12.45"/>
    <row r="921" s="8" customFormat="1" ht="12.45"/>
    <row r="922" s="8" customFormat="1" ht="12.45"/>
    <row r="923" s="8" customFormat="1" ht="12.45"/>
    <row r="924" s="8" customFormat="1" ht="12.45"/>
    <row r="925" s="8" customFormat="1" ht="12.45"/>
    <row r="926" s="8" customFormat="1" ht="12.45"/>
    <row r="927" s="8" customFormat="1" ht="12.45"/>
    <row r="928" s="8" customFormat="1" ht="12.45"/>
    <row r="929" s="8" customFormat="1" ht="12.45"/>
    <row r="930" s="8" customFormat="1" ht="12.45"/>
    <row r="931" s="8" customFormat="1" ht="12.45"/>
    <row r="932" s="8" customFormat="1" ht="12.45"/>
    <row r="933" s="8" customFormat="1" ht="12.45"/>
    <row r="934" s="8" customFormat="1" ht="12.45"/>
    <row r="935" s="8" customFormat="1" ht="12.45"/>
    <row r="936" s="8" customFormat="1" ht="12.45"/>
    <row r="937" s="8" customFormat="1" ht="12.45"/>
    <row r="938" s="8" customFormat="1" ht="12.45"/>
    <row r="939" s="8" customFormat="1" ht="12.45"/>
    <row r="940" s="8" customFormat="1" ht="12.45"/>
    <row r="941" s="8" customFormat="1" ht="12.45"/>
    <row r="942" s="8" customFormat="1" ht="12.45"/>
    <row r="943" s="8" customFormat="1" ht="12.45"/>
    <row r="944" s="8" customFormat="1" ht="12.45"/>
    <row r="945" s="8" customFormat="1" ht="12.45"/>
    <row r="946" s="8" customFormat="1" ht="12.45"/>
    <row r="947" s="8" customFormat="1" ht="12.45"/>
    <row r="948" s="8" customFormat="1" ht="12.45"/>
    <row r="949" s="8" customFormat="1" ht="12.45"/>
    <row r="950" s="8" customFormat="1" ht="12.45"/>
    <row r="951" s="8" customFormat="1" ht="12.45"/>
    <row r="952" s="8" customFormat="1" ht="12.45"/>
    <row r="953" s="8" customFormat="1" ht="12.45"/>
    <row r="954" s="8" customFormat="1" ht="12.45"/>
    <row r="955" s="8" customFormat="1" ht="12.45"/>
    <row r="956" s="8" customFormat="1" ht="12.45"/>
    <row r="957" s="8" customFormat="1" ht="12.45"/>
    <row r="958" s="8" customFormat="1" ht="12.45"/>
    <row r="959" s="8" customFormat="1" ht="12.45"/>
    <row r="960" s="8" customFormat="1" ht="12.45"/>
    <row r="961" s="8" customFormat="1" ht="12.45"/>
    <row r="962" s="8" customFormat="1" ht="12.45"/>
    <row r="963" s="8" customFormat="1" ht="12.45"/>
    <row r="964" s="8" customFormat="1" ht="12.45"/>
    <row r="965" s="8" customFormat="1" ht="12.45"/>
    <row r="966" s="8" customFormat="1" ht="12.45"/>
    <row r="967" s="8" customFormat="1" ht="12.45"/>
    <row r="968" s="8" customFormat="1" ht="12.45"/>
    <row r="969" s="8" customFormat="1" ht="12.45"/>
    <row r="970" s="8" customFormat="1" ht="12.45"/>
    <row r="971" s="8" customFormat="1" ht="12.45"/>
    <row r="972" s="8" customFormat="1" ht="12.45"/>
    <row r="973" s="8" customFormat="1" ht="12.45"/>
    <row r="974" s="8" customFormat="1" ht="12.45"/>
    <row r="975" s="8" customFormat="1" ht="12.45"/>
    <row r="976" s="8" customFormat="1" ht="12.45"/>
    <row r="977" s="8" customFormat="1" ht="12.45"/>
    <row r="978" s="8" customFormat="1" ht="12.45"/>
    <row r="979" s="8" customFormat="1" ht="12.45"/>
    <row r="980" s="8" customFormat="1" ht="12.45"/>
    <row r="981" s="8" customFormat="1" ht="12.45"/>
    <row r="982" s="8" customFormat="1" ht="12.45"/>
    <row r="983" s="8" customFormat="1" ht="12.45"/>
    <row r="984" s="8" customFormat="1" ht="12.45"/>
    <row r="985" s="8" customFormat="1" ht="12.45"/>
    <row r="986" s="8" customFormat="1" ht="12.45"/>
    <row r="987" s="8" customFormat="1" ht="12.45"/>
    <row r="988" s="8" customFormat="1" ht="12.45"/>
    <row r="989" s="8" customFormat="1" ht="12.45"/>
    <row r="990" s="8" customFormat="1" ht="12.45"/>
    <row r="991" s="8" customFormat="1" ht="12.45"/>
    <row r="992" s="8" customFormat="1" ht="12.45"/>
    <row r="993" s="8" customFormat="1" ht="12.45"/>
    <row r="994" s="8" customFormat="1" ht="12.45"/>
    <row r="995" s="8" customFormat="1" ht="12.45"/>
    <row r="996" s="8" customFormat="1" ht="12.45"/>
    <row r="997" s="8" customFormat="1" ht="12.45"/>
    <row r="998" s="8" customFormat="1" ht="12.45"/>
    <row r="999" s="8" customFormat="1" ht="12.45"/>
    <row r="1000" s="8" customFormat="1" ht="12.45"/>
    <row r="1001" s="8" customFormat="1" ht="12.45"/>
    <row r="1002" s="8" customFormat="1" ht="12.45"/>
    <row r="1003" s="8" customFormat="1" ht="12.45"/>
    <row r="1004" s="8" customFormat="1" ht="12.45"/>
    <row r="1005" s="8" customFormat="1" ht="12.45"/>
    <row r="1006" s="8" customFormat="1" ht="12.45"/>
    <row r="1007" s="8" customFormat="1" ht="12.45"/>
    <row r="1008" s="8" customFormat="1" ht="12.45"/>
    <row r="1009" s="8" customFormat="1" ht="12.45"/>
    <row r="1010" s="8" customFormat="1" ht="12.45"/>
    <row r="1011" s="8" customFormat="1" ht="12.45"/>
    <row r="1012" s="8" customFormat="1" ht="12.45"/>
    <row r="1013" s="8" customFormat="1" ht="12.45"/>
    <row r="1014" s="8" customFormat="1" ht="12.45"/>
    <row r="1015" s="8" customFormat="1" ht="12.45"/>
    <row r="1016" s="8" customFormat="1" ht="12.45"/>
    <row r="1017" s="8" customFormat="1" ht="12.45"/>
    <row r="1018" s="8" customFormat="1" ht="12.45"/>
    <row r="1019" s="8" customFormat="1" ht="12.45"/>
    <row r="1020" s="8" customFormat="1" ht="12.45"/>
    <row r="1021" s="8" customFormat="1" ht="12.45"/>
    <row r="1022" s="8" customFormat="1" ht="12.45"/>
    <row r="1023" s="8" customFormat="1" ht="12.45"/>
    <row r="1024" s="8" customFormat="1" ht="12.45"/>
    <row r="1025" s="8" customFormat="1" ht="12.45"/>
    <row r="1026" s="8" customFormat="1" ht="12.45"/>
    <row r="1027" s="8" customFormat="1" ht="12.45"/>
    <row r="1028" s="8" customFormat="1" ht="12.45"/>
    <row r="1029" s="8" customFormat="1" ht="12.45"/>
    <row r="1030" s="8" customFormat="1" ht="12.45"/>
    <row r="1031" s="8" customFormat="1" ht="12.45"/>
    <row r="1032" s="8" customFormat="1" ht="12.45"/>
    <row r="1033" s="8" customFormat="1" ht="12.45"/>
    <row r="1034" s="8" customFormat="1" ht="12.45"/>
    <row r="1035" s="8" customFormat="1" ht="12.45"/>
    <row r="1036" s="8" customFormat="1" ht="12.45"/>
    <row r="1037" s="8" customFormat="1" ht="12.45"/>
    <row r="1038" s="8" customFormat="1" ht="12.45"/>
    <row r="1039" s="8" customFormat="1" ht="12.45"/>
    <row r="1040" s="8" customFormat="1" ht="12.45"/>
    <row r="1041" s="8" customFormat="1" ht="12.45"/>
    <row r="1042" s="8" customFormat="1" ht="12.45"/>
    <row r="1043" s="8" customFormat="1" ht="12.45"/>
    <row r="1044" s="8" customFormat="1" ht="12.45"/>
    <row r="1045" s="8" customFormat="1" ht="12.45"/>
    <row r="1046" s="8" customFormat="1" ht="12.45"/>
    <row r="1047" s="8" customFormat="1" ht="12.45"/>
    <row r="1048" s="8" customFormat="1" ht="12.45"/>
    <row r="1049" s="8" customFormat="1" ht="12.45"/>
    <row r="1050" s="8" customFormat="1" ht="12.45"/>
    <row r="1051" s="8" customFormat="1" ht="12.45"/>
    <row r="1052" s="8" customFormat="1" ht="12.45"/>
    <row r="1053" s="8" customFormat="1" ht="12.45"/>
    <row r="1054" s="8" customFormat="1" ht="12.45"/>
    <row r="1055" s="8" customFormat="1" ht="12.45"/>
    <row r="1056" s="8" customFormat="1" ht="12.45"/>
    <row r="1057" s="8" customFormat="1" ht="12.45"/>
    <row r="1058" s="8" customFormat="1" ht="12.45"/>
    <row r="1059" s="8" customFormat="1" ht="12.45"/>
    <row r="1060" s="8" customFormat="1" ht="12.45"/>
    <row r="1061" s="8" customFormat="1" ht="12.45"/>
    <row r="1062" s="8" customFormat="1" ht="12.45"/>
    <row r="1063" s="8" customFormat="1" ht="12.45"/>
    <row r="1064" s="8" customFormat="1" ht="12.45"/>
    <row r="1065" s="8" customFormat="1" ht="12.45"/>
    <row r="1066" s="8" customFormat="1" ht="12.45"/>
    <row r="1067" s="8" customFormat="1" ht="12.45"/>
    <row r="1068" s="8" customFormat="1" ht="12.45"/>
    <row r="1069" s="8" customFormat="1" ht="12.45"/>
    <row r="1070" s="8" customFormat="1" ht="12.45"/>
    <row r="1071" s="8" customFormat="1" ht="12.45"/>
    <row r="1072" s="8" customFormat="1" ht="12.45"/>
    <row r="1073" s="8" customFormat="1" ht="12.45"/>
    <row r="1074" s="8" customFormat="1" ht="12.45"/>
    <row r="1075" s="8" customFormat="1" ht="12.45"/>
    <row r="1076" s="8" customFormat="1" ht="12.45"/>
    <row r="1077" s="8" customFormat="1" ht="12.45"/>
    <row r="1078" s="8" customFormat="1" ht="12.45"/>
    <row r="1079" s="8" customFormat="1" ht="12.45"/>
    <row r="1080" s="8" customFormat="1" ht="12.45"/>
    <row r="1081" s="8" customFormat="1" ht="12.45"/>
    <row r="1082" s="8" customFormat="1" ht="12.45"/>
    <row r="1083" s="8" customFormat="1" ht="12.45"/>
    <row r="1084" s="8" customFormat="1" ht="12.45"/>
    <row r="1085" s="8" customFormat="1" ht="12.45"/>
    <row r="1086" s="8" customFormat="1" ht="12.45"/>
    <row r="1087" s="8" customFormat="1" ht="12.45"/>
    <row r="1088" s="8" customFormat="1" ht="12.45"/>
    <row r="1089" s="8" customFormat="1" ht="12.45"/>
    <row r="1090" s="8" customFormat="1" ht="12.45"/>
    <row r="1091" s="8" customFormat="1" ht="12.45"/>
    <row r="1092" s="8" customFormat="1" ht="12.45"/>
    <row r="1093" s="8" customFormat="1" ht="12.45"/>
    <row r="1094" s="8" customFormat="1" ht="12.45"/>
    <row r="1095" s="8" customFormat="1" ht="12.45"/>
    <row r="1096" s="8" customFormat="1" ht="12.45"/>
    <row r="1097" s="8" customFormat="1" ht="12.45"/>
    <row r="1098" s="8" customFormat="1" ht="12.45"/>
    <row r="1099" s="8" customFormat="1" ht="12.45"/>
    <row r="1100" s="8" customFormat="1" ht="12.45"/>
    <row r="1101" s="8" customFormat="1" ht="12.45"/>
    <row r="1102" s="8" customFormat="1" ht="12.45"/>
    <row r="1103" s="8" customFormat="1" ht="12.45"/>
    <row r="1104" s="8" customFormat="1" ht="12.45"/>
    <row r="1105" s="8" customFormat="1" ht="12.45"/>
    <row r="1106" s="8" customFormat="1" ht="12.45"/>
    <row r="1107" s="8" customFormat="1" ht="12.45"/>
    <row r="1108" s="8" customFormat="1" ht="12.45"/>
    <row r="1109" s="8" customFormat="1" ht="12.45"/>
    <row r="1110" s="8" customFormat="1" ht="12.45"/>
    <row r="1111" s="8" customFormat="1" ht="12.45"/>
    <row r="1112" s="8" customFormat="1" ht="12.45"/>
    <row r="1113" s="8" customFormat="1" ht="12.45"/>
    <row r="1114" s="8" customFormat="1" ht="12.45"/>
    <row r="1115" s="8" customFormat="1" ht="12.45"/>
    <row r="1116" s="8" customFormat="1" ht="12.45"/>
    <row r="1117" s="8" customFormat="1" ht="12.45"/>
    <row r="1118" s="8" customFormat="1" ht="12.45"/>
    <row r="1119" s="8" customFormat="1" ht="12.45"/>
    <row r="1120" s="8" customFormat="1" ht="12.45"/>
    <row r="1121" s="8" customFormat="1" ht="12.45"/>
    <row r="1122" s="8" customFormat="1" ht="12.45"/>
    <row r="1123" s="8" customFormat="1" ht="12.45"/>
    <row r="1124" s="8" customFormat="1" ht="12.45"/>
    <row r="1125" s="8" customFormat="1" ht="12.45"/>
    <row r="1126" s="8" customFormat="1" ht="12.45"/>
    <row r="1127" s="8" customFormat="1" ht="12.45"/>
    <row r="1128" s="8" customFormat="1" ht="12.45"/>
    <row r="1129" s="8" customFormat="1" ht="12.45"/>
    <row r="1130" s="8" customFormat="1" ht="12.45"/>
    <row r="1131" s="8" customFormat="1" ht="12.45"/>
    <row r="1132" s="8" customFormat="1" ht="12.45"/>
    <row r="1133" s="8" customFormat="1" ht="12.45"/>
    <row r="1134" s="8" customFormat="1" ht="12.45"/>
    <row r="1135" s="8" customFormat="1" ht="12.45"/>
    <row r="1136" s="8" customFormat="1" ht="12.45"/>
    <row r="1137" s="8" customFormat="1" ht="12.45"/>
    <row r="1138" s="8" customFormat="1" ht="12.45"/>
    <row r="1139" s="8" customFormat="1" ht="12.45"/>
    <row r="1140" s="8" customFormat="1" ht="12.45"/>
    <row r="1141" s="8" customFormat="1" ht="12.45"/>
    <row r="1142" s="8" customFormat="1" ht="12.45"/>
    <row r="1143" s="8" customFormat="1" ht="12.45"/>
    <row r="1144" s="8" customFormat="1" ht="12.45"/>
    <row r="1145" s="8" customFormat="1" ht="12.45"/>
    <row r="1146" s="8" customFormat="1" ht="12.45"/>
    <row r="1147" s="8" customFormat="1" ht="12.45"/>
    <row r="1148" s="8" customFormat="1" ht="12.45"/>
    <row r="1149" s="8" customFormat="1" ht="12.45"/>
    <row r="1150" s="8" customFormat="1" ht="12.45"/>
    <row r="1151" s="8" customFormat="1" ht="12.45"/>
    <row r="1152" s="8" customFormat="1" ht="12.45"/>
    <row r="1153" s="8" customFormat="1" ht="12.45"/>
    <row r="1154" s="8" customFormat="1" ht="12.45"/>
    <row r="1155" s="8" customFormat="1" ht="12.45"/>
    <row r="1156" s="8" customFormat="1" ht="12.45"/>
    <row r="1157" s="8" customFormat="1" ht="12.45"/>
    <row r="1158" s="8" customFormat="1" ht="12.45"/>
    <row r="1159" s="8" customFormat="1" ht="12.45"/>
    <row r="1160" s="8" customFormat="1" ht="12.45"/>
    <row r="1161" s="8" customFormat="1" ht="12.45"/>
    <row r="1162" s="8" customFormat="1" ht="12.45"/>
    <row r="1163" s="8" customFormat="1" ht="12.45"/>
    <row r="1164" s="8" customFormat="1" ht="12.45"/>
    <row r="1165" s="8" customFormat="1" ht="12.45"/>
    <row r="1166" s="8" customFormat="1" ht="12.45"/>
    <row r="1167" s="8" customFormat="1" ht="12.45"/>
    <row r="1168" s="8" customFormat="1" ht="12.45"/>
    <row r="1169" s="8" customFormat="1" ht="12.45"/>
    <row r="1170" s="8" customFormat="1" ht="12.45"/>
    <row r="1171" s="8" customFormat="1" ht="12.45"/>
    <row r="1172" s="8" customFormat="1" ht="12.45"/>
    <row r="1173" s="8" customFormat="1" ht="12.45"/>
    <row r="1174" s="8" customFormat="1" ht="12.45"/>
    <row r="1175" s="8" customFormat="1" ht="12.45"/>
    <row r="1176" s="8" customFormat="1" ht="12.45"/>
    <row r="1177" s="8" customFormat="1" ht="12.45"/>
    <row r="1178" s="8" customFormat="1" ht="12.45"/>
    <row r="1179" s="8" customFormat="1" ht="12.45"/>
    <row r="1180" s="8" customFormat="1" ht="12.45"/>
    <row r="1181" s="8" customFormat="1" ht="12.45"/>
    <row r="1182" s="8" customFormat="1" ht="12.45"/>
    <row r="1183" s="8" customFormat="1" ht="12.45"/>
    <row r="1184" s="8" customFormat="1" ht="12.45"/>
    <row r="1185" s="8" customFormat="1" ht="12.45"/>
    <row r="1186" s="8" customFormat="1" ht="12.45"/>
    <row r="1187" s="8" customFormat="1" ht="12.45"/>
    <row r="1188" s="8" customFormat="1" ht="12.45"/>
    <row r="1189" s="8" customFormat="1" ht="12.45"/>
    <row r="1190" s="8" customFormat="1" ht="12.45"/>
    <row r="1191" s="8" customFormat="1" ht="12.45"/>
    <row r="1192" s="8" customFormat="1" ht="12.45"/>
    <row r="1193" s="8" customFormat="1" ht="12.45"/>
    <row r="1194" s="8" customFormat="1" ht="12.45"/>
    <row r="1195" s="8" customFormat="1" ht="12.45"/>
    <row r="1196" s="8" customFormat="1" ht="12.45"/>
    <row r="1197" s="8" customFormat="1" ht="12.45"/>
    <row r="1198" s="8" customFormat="1" ht="12.45"/>
    <row r="1199" s="8" customFormat="1" ht="12.45"/>
    <row r="1200" s="8" customFormat="1" ht="12.45"/>
    <row r="1201" s="8" customFormat="1" ht="12.45"/>
    <row r="1202" s="8" customFormat="1" ht="12.45"/>
    <row r="1203" s="8" customFormat="1" ht="12.45"/>
    <row r="1204" s="8" customFormat="1" ht="12.45"/>
    <row r="1205" s="8" customFormat="1" ht="12.45"/>
    <row r="1206" s="8" customFormat="1" ht="12.45"/>
    <row r="1207" s="8" customFormat="1" ht="12.45"/>
    <row r="1208" s="8" customFormat="1" ht="12.45"/>
    <row r="1209" s="8" customFormat="1" ht="12.45"/>
    <row r="1210" s="8" customFormat="1" ht="12.45"/>
    <row r="1211" s="8" customFormat="1" ht="12.45"/>
    <row r="1212" s="8" customFormat="1" ht="12.45"/>
    <row r="1213" s="8" customFormat="1" ht="12.45"/>
    <row r="1214" s="8" customFormat="1" ht="12.45"/>
    <row r="1215" s="8" customFormat="1" ht="12.45"/>
    <row r="1216" s="8" customFormat="1" ht="12.45"/>
    <row r="1217" s="8" customFormat="1" ht="12.45"/>
    <row r="1218" s="8" customFormat="1" ht="12.45"/>
    <row r="1219" s="8" customFormat="1" ht="12.45"/>
    <row r="1220" s="8" customFormat="1" ht="12.45"/>
    <row r="1221" s="8" customFormat="1" ht="12.45"/>
    <row r="1222" s="8" customFormat="1" ht="12.45"/>
    <row r="1223" s="8" customFormat="1" ht="12.45"/>
    <row r="1224" s="8" customFormat="1" ht="12.45"/>
    <row r="1225" s="8" customFormat="1" ht="12.45"/>
    <row r="1226" s="8" customFormat="1" ht="12.45"/>
    <row r="1227" s="8" customFormat="1" ht="12.45"/>
    <row r="1228" s="8" customFormat="1" ht="12.45"/>
    <row r="1229" s="8" customFormat="1" ht="12.45"/>
    <row r="1230" s="8" customFormat="1" ht="12.45"/>
    <row r="1231" s="8" customFormat="1" ht="12.45"/>
    <row r="1232" s="8" customFormat="1" ht="12.45"/>
    <row r="1233" s="8" customFormat="1" ht="12.45"/>
    <row r="1234" s="8" customFormat="1" ht="12.45"/>
    <row r="1235" s="8" customFormat="1" ht="12.45"/>
    <row r="1236" s="8" customFormat="1" ht="12.45"/>
    <row r="1237" s="8" customFormat="1" ht="12.45"/>
    <row r="1238" s="8" customFormat="1" ht="12.45"/>
    <row r="1239" s="8" customFormat="1" ht="12.45"/>
    <row r="1240" s="8" customFormat="1" ht="12.45"/>
    <row r="1241" s="8" customFormat="1" ht="12.45"/>
    <row r="1242" s="8" customFormat="1" ht="12.45"/>
    <row r="1243" s="8" customFormat="1" ht="12.45"/>
    <row r="1244" s="8" customFormat="1" ht="12.45"/>
    <row r="1245" s="8" customFormat="1" ht="12.45"/>
    <row r="1246" s="8" customFormat="1" ht="12.45"/>
    <row r="1247" s="8" customFormat="1" ht="12.45"/>
    <row r="1248" s="8" customFormat="1" ht="12.45"/>
    <row r="1249" s="8" customFormat="1" ht="12.45"/>
    <row r="1250" s="8" customFormat="1" ht="12.45"/>
    <row r="1251" s="8" customFormat="1" ht="12.45"/>
    <row r="1252" s="8" customFormat="1" ht="12.45"/>
    <row r="1253" s="8" customFormat="1" ht="12.45"/>
    <row r="1254" s="8" customFormat="1" ht="12.45"/>
    <row r="1255" s="8" customFormat="1" ht="12.45"/>
    <row r="1256" s="8" customFormat="1" ht="12.45"/>
    <row r="1257" s="8" customFormat="1" ht="12.45"/>
    <row r="1258" s="8" customFormat="1" ht="12.45"/>
    <row r="1259" s="8" customFormat="1" ht="12.45"/>
    <row r="1260" s="8" customFormat="1" ht="12.45"/>
    <row r="1261" s="8" customFormat="1" ht="12.45"/>
    <row r="1262" s="8" customFormat="1" ht="12.45"/>
    <row r="1263" s="8" customFormat="1" ht="12.45"/>
    <row r="1264" s="8" customFormat="1" ht="12.45"/>
    <row r="1265" s="8" customFormat="1" ht="12.45"/>
    <row r="1266" s="8" customFormat="1" ht="12.45"/>
    <row r="1267" s="8" customFormat="1" ht="12.45"/>
    <row r="1268" s="8" customFormat="1" ht="12.45"/>
    <row r="1269" s="8" customFormat="1" ht="12.45"/>
    <row r="1270" s="8" customFormat="1" ht="12.45"/>
    <row r="1271" s="8" customFormat="1" ht="12.45"/>
    <row r="1272" s="8" customFormat="1" ht="12.45"/>
    <row r="1273" s="8" customFormat="1" ht="12.45"/>
    <row r="1274" s="8" customFormat="1" ht="12.45"/>
    <row r="1275" s="8" customFormat="1" ht="12.45"/>
    <row r="1276" s="8" customFormat="1" ht="12.45"/>
    <row r="1277" s="8" customFormat="1" ht="12.45"/>
    <row r="1278" s="8" customFormat="1" ht="12.45"/>
    <row r="1279" s="8" customFormat="1" ht="12.45"/>
    <row r="1280" s="8" customFormat="1" ht="12.45"/>
    <row r="1281" s="8" customFormat="1" ht="12.45"/>
    <row r="1282" s="8" customFormat="1" ht="12.45"/>
    <row r="1283" s="8" customFormat="1" ht="12.45"/>
    <row r="1284" s="8" customFormat="1" ht="12.45"/>
    <row r="1285" s="8" customFormat="1" ht="12.45"/>
    <row r="1286" s="8" customFormat="1" ht="12.45"/>
    <row r="1287" s="8" customFormat="1" ht="12.45"/>
    <row r="1288" s="8" customFormat="1" ht="12.45"/>
    <row r="1289" s="8" customFormat="1" ht="12.45"/>
    <row r="1290" s="8" customFormat="1" ht="12.45"/>
    <row r="1291" s="8" customFormat="1" ht="12.45"/>
    <row r="1292" s="8" customFormat="1" ht="12.45"/>
    <row r="1293" s="8" customFormat="1" ht="12.45"/>
    <row r="1294" s="8" customFormat="1" ht="12.45"/>
    <row r="1295" s="8" customFormat="1" ht="12.45"/>
    <row r="1296" s="8" customFormat="1" ht="12.45"/>
    <row r="1297" s="8" customFormat="1" ht="12.45"/>
    <row r="1298" s="8" customFormat="1" ht="12.45"/>
    <row r="1299" s="8" customFormat="1" ht="12.45"/>
    <row r="1300" s="8" customFormat="1" ht="12.45"/>
    <row r="1301" s="8" customFormat="1" ht="12.45"/>
    <row r="1302" s="8" customFormat="1" ht="12.45"/>
    <row r="1303" s="8" customFormat="1" ht="12.45"/>
    <row r="1304" s="8" customFormat="1" ht="12.45"/>
    <row r="1305" s="8" customFormat="1" ht="12.45"/>
    <row r="1306" s="8" customFormat="1" ht="12.45"/>
    <row r="1307" s="8" customFormat="1" ht="12.45"/>
    <row r="1308" s="8" customFormat="1" ht="12.45"/>
    <row r="1309" s="8" customFormat="1" ht="12.45"/>
    <row r="1310" s="8" customFormat="1" ht="12.45"/>
    <row r="1311" s="8" customFormat="1" ht="12.45"/>
    <row r="1312" s="8" customFormat="1" ht="12.45"/>
    <row r="1313" s="8" customFormat="1" ht="12.45"/>
    <row r="1314" s="8" customFormat="1" ht="12.45"/>
    <row r="1315" s="8" customFormat="1" ht="12.45"/>
    <row r="1316" s="8" customFormat="1" ht="12.45"/>
    <row r="1317" s="8" customFormat="1" ht="12.45"/>
    <row r="1318" s="8" customFormat="1" ht="12.45"/>
    <row r="1319" s="8" customFormat="1" ht="12.45"/>
    <row r="1320" s="8" customFormat="1" ht="12.45"/>
    <row r="1321" s="8" customFormat="1" ht="12.45"/>
    <row r="1322" s="8" customFormat="1" ht="12.45"/>
    <row r="1323" s="8" customFormat="1" ht="12.45"/>
    <row r="1324" s="8" customFormat="1" ht="12.45"/>
    <row r="1325" s="8" customFormat="1" ht="12.45"/>
    <row r="1326" s="8" customFormat="1" ht="12.45"/>
    <row r="1327" s="8" customFormat="1" ht="12.45"/>
    <row r="1328" s="8" customFormat="1" ht="12.45"/>
    <row r="1329" s="8" customFormat="1" ht="12.45"/>
    <row r="1330" s="8" customFormat="1" ht="12.45"/>
    <row r="1331" s="8" customFormat="1" ht="12.45"/>
    <row r="1332" s="8" customFormat="1" ht="12.45"/>
    <row r="1333" s="8" customFormat="1" ht="12.45"/>
    <row r="1334" s="8" customFormat="1" ht="12.45"/>
    <row r="1335" s="8" customFormat="1" ht="12.45"/>
    <row r="1336" s="8" customFormat="1" ht="12.45"/>
    <row r="1337" s="8" customFormat="1" ht="12.45"/>
    <row r="1338" s="8" customFormat="1" ht="12.45"/>
    <row r="1339" s="8" customFormat="1" ht="12.45"/>
    <row r="1340" s="8" customFormat="1" ht="12.45"/>
    <row r="1341" s="8" customFormat="1" ht="12.45"/>
    <row r="1342" s="8" customFormat="1" ht="12.45"/>
    <row r="1343" s="8" customFormat="1" ht="12.45"/>
    <row r="1344" s="8" customFormat="1" ht="12.45"/>
    <row r="1345" s="8" customFormat="1" ht="12.45"/>
    <row r="1346" s="8" customFormat="1" ht="12.45"/>
    <row r="1347" s="8" customFormat="1" ht="12.45"/>
    <row r="1348" s="8" customFormat="1" ht="12.45"/>
    <row r="1349" s="8" customFormat="1" ht="12.45"/>
    <row r="1350" s="8" customFormat="1" ht="12.45"/>
    <row r="1351" s="8" customFormat="1" ht="12.45"/>
    <row r="1352" s="8" customFormat="1" ht="12.45"/>
    <row r="1353" s="8" customFormat="1" ht="12.45"/>
    <row r="1354" s="8" customFormat="1" ht="12.45"/>
    <row r="1355" s="8" customFormat="1" ht="12.45"/>
    <row r="1356" s="8" customFormat="1" ht="12.45"/>
    <row r="1357" s="8" customFormat="1" ht="12.45"/>
    <row r="1358" s="8" customFormat="1" ht="12.45"/>
    <row r="1359" s="8" customFormat="1" ht="12.45"/>
    <row r="1360" s="8" customFormat="1" ht="12.45"/>
    <row r="1361" s="8" customFormat="1" ht="12.45"/>
    <row r="1362" s="8" customFormat="1" ht="12.45"/>
    <row r="1363" s="8" customFormat="1" ht="12.45"/>
    <row r="1364" s="8" customFormat="1" ht="12.45"/>
    <row r="1365" s="8" customFormat="1" ht="12.45"/>
    <row r="1366" s="8" customFormat="1" ht="12.45"/>
    <row r="1367" s="8" customFormat="1" ht="12.45"/>
    <row r="1368" s="8" customFormat="1" ht="12.45"/>
    <row r="1369" s="8" customFormat="1" ht="12.45"/>
    <row r="1370" s="8" customFormat="1" ht="12.45"/>
    <row r="1371" s="8" customFormat="1" ht="12.45"/>
    <row r="1372" s="8" customFormat="1" ht="12.45"/>
    <row r="1373" s="8" customFormat="1" ht="12.45"/>
    <row r="1374" s="8" customFormat="1" ht="12.45"/>
    <row r="1375" s="8" customFormat="1" ht="12.45"/>
    <row r="1376" s="8" customFormat="1" ht="12.45"/>
    <row r="1377" s="8" customFormat="1" ht="12.45"/>
    <row r="1378" s="8" customFormat="1" ht="12.45"/>
    <row r="1379" s="8" customFormat="1" ht="12.45"/>
    <row r="1380" s="8" customFormat="1" ht="12.45"/>
    <row r="1381" s="8" customFormat="1" ht="12.45"/>
    <row r="1382" s="8" customFormat="1" ht="12.45"/>
    <row r="1383" s="8" customFormat="1" ht="12.45"/>
    <row r="1384" s="8" customFormat="1" ht="12.45"/>
    <row r="1385" s="8" customFormat="1" ht="12.45"/>
    <row r="1386" s="8" customFormat="1" ht="12.45"/>
    <row r="1387" s="8" customFormat="1" ht="12.45"/>
    <row r="1388" s="8" customFormat="1" ht="12.45"/>
    <row r="1389" s="8" customFormat="1" ht="12.45"/>
    <row r="1390" s="8" customFormat="1" ht="12.45"/>
    <row r="1391" s="8" customFormat="1" ht="12.45"/>
    <row r="1392" s="8" customFormat="1" ht="12.45"/>
    <row r="1393" s="8" customFormat="1" ht="12.45"/>
    <row r="1394" s="8" customFormat="1" ht="12.45"/>
    <row r="1395" s="8" customFormat="1" ht="12.45"/>
    <row r="1396" s="8" customFormat="1" ht="12.45"/>
    <row r="1397" s="8" customFormat="1" ht="12.45"/>
    <row r="1398" s="8" customFormat="1" ht="12.45"/>
    <row r="1399" s="8" customFormat="1" ht="12.45"/>
    <row r="1400" s="8" customFormat="1" ht="12.45"/>
    <row r="1401" s="8" customFormat="1" ht="12.45"/>
    <row r="1402" s="8" customFormat="1" ht="12.45"/>
    <row r="1403" s="8" customFormat="1" ht="12.45"/>
    <row r="1404" s="8" customFormat="1" ht="12.45"/>
    <row r="1405" s="8" customFormat="1" ht="12.45"/>
    <row r="1406" s="8" customFormat="1" ht="12.45"/>
    <row r="1407" s="8" customFormat="1" ht="12.45"/>
    <row r="1408" s="8" customFormat="1" ht="12.45"/>
    <row r="1409" s="8" customFormat="1" ht="12.45"/>
    <row r="1410" s="8" customFormat="1" ht="12.45"/>
    <row r="1411" s="8" customFormat="1" ht="12.45"/>
    <row r="1412" s="8" customFormat="1" ht="12.45"/>
    <row r="1413" s="8" customFormat="1" ht="12.45"/>
    <row r="1414" s="8" customFormat="1" ht="12.45"/>
    <row r="1415" s="8" customFormat="1" ht="12.45"/>
    <row r="1416" s="8" customFormat="1" ht="12.45"/>
    <row r="1417" s="8" customFormat="1" ht="12.45"/>
    <row r="1418" s="8" customFormat="1" ht="12.45"/>
    <row r="1419" s="8" customFormat="1" ht="12.45"/>
    <row r="1420" s="8" customFormat="1" ht="12.45"/>
    <row r="1421" s="8" customFormat="1" ht="12.45"/>
    <row r="1422" s="8" customFormat="1" ht="12.45"/>
    <row r="1423" s="8" customFormat="1" ht="12.45"/>
    <row r="1424" s="8" customFormat="1" ht="12.45"/>
    <row r="1425" s="8" customFormat="1" ht="12.45"/>
    <row r="1426" s="8" customFormat="1" ht="12.45"/>
    <row r="1427" s="8" customFormat="1" ht="12.45"/>
    <row r="1428" s="8" customFormat="1" ht="12.45"/>
    <row r="1429" s="8" customFormat="1" ht="12.45"/>
    <row r="1430" s="8" customFormat="1" ht="12.45"/>
    <row r="1431" s="8" customFormat="1" ht="12.45"/>
    <row r="1432" s="8" customFormat="1" ht="12.45"/>
    <row r="1433" s="8" customFormat="1" ht="12.45"/>
    <row r="1434" s="8" customFormat="1" ht="12.45"/>
    <row r="1435" s="8" customFormat="1" ht="12.45"/>
    <row r="1436" s="8" customFormat="1" ht="12.45"/>
    <row r="1437" s="8" customFormat="1" ht="12.45"/>
    <row r="1438" s="8" customFormat="1" ht="12.45"/>
    <row r="1439" s="8" customFormat="1" ht="12.45"/>
    <row r="1440" s="8" customFormat="1" ht="12.45"/>
    <row r="1441" s="8" customFormat="1" ht="12.45"/>
    <row r="1442" s="8" customFormat="1" ht="12.45"/>
    <row r="1443" s="8" customFormat="1" ht="12.45"/>
    <row r="1444" s="8" customFormat="1" ht="12.45"/>
    <row r="1445" s="8" customFormat="1" ht="12.45"/>
    <row r="1446" s="8" customFormat="1" ht="12.45"/>
    <row r="1447" s="8" customFormat="1" ht="12.45"/>
    <row r="1448" s="8" customFormat="1" ht="12.45"/>
    <row r="1449" s="8" customFormat="1" ht="12.45"/>
    <row r="1450" s="8" customFormat="1" ht="12.45"/>
    <row r="1451" s="8" customFormat="1" ht="12.45"/>
    <row r="1452" s="8" customFormat="1" ht="12.45"/>
    <row r="1453" s="8" customFormat="1" ht="12.45"/>
    <row r="1454" s="8" customFormat="1" ht="12.45"/>
    <row r="1455" s="8" customFormat="1" ht="12.45"/>
    <row r="1456" s="8" customFormat="1" ht="12.45"/>
    <row r="1457" s="8" customFormat="1" ht="12.45"/>
    <row r="1458" s="8" customFormat="1" ht="12.45"/>
    <row r="1459" s="8" customFormat="1" ht="12.45"/>
    <row r="1460" s="8" customFormat="1" ht="12.45"/>
    <row r="1461" s="8" customFormat="1" ht="12.45"/>
    <row r="1462" s="8" customFormat="1" ht="12.45"/>
    <row r="1463" s="8" customFormat="1" ht="12.45"/>
    <row r="1464" s="8" customFormat="1" ht="12.45"/>
    <row r="1465" s="8" customFormat="1" ht="12.45"/>
    <row r="1466" s="8" customFormat="1" ht="12.45"/>
    <row r="1467" s="8" customFormat="1" ht="12.45"/>
    <row r="1468" s="8" customFormat="1" ht="12.45"/>
    <row r="1469" s="8" customFormat="1" ht="12.45"/>
    <row r="1470" s="8" customFormat="1" ht="12.45"/>
    <row r="1471" s="8" customFormat="1" ht="12.45"/>
    <row r="1472" s="8" customFormat="1" ht="12.45"/>
    <row r="1473" s="8" customFormat="1" ht="12.45"/>
    <row r="1474" s="8" customFormat="1" ht="12.45"/>
    <row r="1475" s="8" customFormat="1" ht="12.45"/>
    <row r="1476" s="8" customFormat="1" ht="12.45"/>
    <row r="1477" s="8" customFormat="1" ht="12.45"/>
    <row r="1478" s="8" customFormat="1" ht="12.45"/>
    <row r="1479" s="8" customFormat="1" ht="12.45"/>
    <row r="1480" s="8" customFormat="1" ht="12.45"/>
    <row r="1481" s="8" customFormat="1" ht="12.45"/>
    <row r="1482" s="8" customFormat="1" ht="12.45"/>
    <row r="1483" s="8" customFormat="1" ht="12.45"/>
    <row r="1484" s="8" customFormat="1" ht="12.45"/>
    <row r="1485" s="8" customFormat="1" ht="12.45"/>
    <row r="1486" s="8" customFormat="1" ht="12.45"/>
    <row r="1487" s="8" customFormat="1" ht="12.45"/>
    <row r="1488" s="8" customFormat="1" ht="12.45"/>
    <row r="1489" s="8" customFormat="1" ht="12.45"/>
    <row r="1490" s="8" customFormat="1" ht="12.45"/>
    <row r="1491" s="8" customFormat="1" ht="12.45"/>
    <row r="1492" s="8" customFormat="1" ht="12.45"/>
    <row r="1493" s="8" customFormat="1" ht="12.45"/>
    <row r="1494" s="8" customFormat="1" ht="12.45"/>
    <row r="1495" s="8" customFormat="1" ht="12.45"/>
    <row r="1496" s="8" customFormat="1" ht="12.45"/>
    <row r="1497" s="8" customFormat="1" ht="12.45"/>
    <row r="1498" s="8" customFormat="1" ht="12.45"/>
    <row r="1499" s="8" customFormat="1" ht="12.45"/>
    <row r="1500" s="8" customFormat="1" ht="12.45"/>
    <row r="1501" s="8" customFormat="1" ht="12.45"/>
    <row r="1502" s="8" customFormat="1" ht="12.45"/>
    <row r="1503" s="8" customFormat="1" ht="12.45"/>
    <row r="1504" s="8" customFormat="1" ht="12.45"/>
    <row r="1505" s="8" customFormat="1" ht="12.45"/>
    <row r="1506" s="8" customFormat="1" ht="12.45"/>
    <row r="1507" s="8" customFormat="1" ht="12.45"/>
    <row r="1508" s="8" customFormat="1" ht="12.45"/>
    <row r="1509" s="8" customFormat="1" ht="12.45"/>
    <row r="1510" s="8" customFormat="1" ht="12.45"/>
    <row r="1511" s="8" customFormat="1" ht="12.45"/>
    <row r="1512" s="8" customFormat="1" ht="12.45"/>
    <row r="1513" s="8" customFormat="1" ht="12.45"/>
    <row r="1514" s="8" customFormat="1" ht="12.45"/>
    <row r="1515" s="8" customFormat="1" ht="12.45"/>
    <row r="1516" s="8" customFormat="1" ht="12.45"/>
    <row r="1517" s="8" customFormat="1" ht="12.45"/>
    <row r="1518" s="8" customFormat="1" ht="12.45"/>
    <row r="1519" s="8" customFormat="1" ht="12.45"/>
    <row r="1520" s="8" customFormat="1" ht="12.45"/>
    <row r="1521" s="8" customFormat="1" ht="12.45"/>
    <row r="1522" s="8" customFormat="1" ht="12.45"/>
    <row r="1523" s="8" customFormat="1" ht="12.45"/>
    <row r="1524" s="8" customFormat="1" ht="12.45"/>
    <row r="1525" s="8" customFormat="1" ht="12.45"/>
    <row r="1526" s="8" customFormat="1" ht="12.45"/>
    <row r="1527" s="8" customFormat="1" ht="12.45"/>
    <row r="1528" s="8" customFormat="1" ht="12.45"/>
    <row r="1529" s="8" customFormat="1" ht="12.45"/>
    <row r="1530" s="8" customFormat="1" ht="12.45"/>
    <row r="1531" s="8" customFormat="1" ht="12.45"/>
    <row r="1532" s="8" customFormat="1" ht="12.45"/>
    <row r="1533" s="8" customFormat="1" ht="12.45"/>
    <row r="1534" s="8" customFormat="1" ht="12.45"/>
    <row r="1535" s="8" customFormat="1" ht="12.45"/>
    <row r="1536" s="8" customFormat="1" ht="12.45"/>
    <row r="1537" s="8" customFormat="1" ht="12.45"/>
    <row r="1538" s="8" customFormat="1" ht="12.45"/>
    <row r="1539" s="8" customFormat="1" ht="12.45"/>
    <row r="1540" s="8" customFormat="1" ht="12.45"/>
    <row r="1541" s="8" customFormat="1" ht="12.45"/>
    <row r="1542" s="8" customFormat="1" ht="12.45"/>
    <row r="1543" s="8" customFormat="1" ht="12.45"/>
    <row r="1544" s="8" customFormat="1" ht="12.45"/>
    <row r="1545" s="8" customFormat="1" ht="12.45"/>
    <row r="1546" s="8" customFormat="1" ht="12.45"/>
    <row r="1547" s="8" customFormat="1" ht="12.45"/>
    <row r="1548" s="8" customFormat="1" ht="12.45"/>
    <row r="1549" s="8" customFormat="1" ht="12.45"/>
    <row r="1550" s="8" customFormat="1" ht="12.45"/>
    <row r="1551" s="8" customFormat="1" ht="12.45"/>
    <row r="1552" s="8" customFormat="1" ht="12.45"/>
    <row r="1553" s="8" customFormat="1" ht="12.45"/>
    <row r="1554" s="8" customFormat="1" ht="12.45"/>
    <row r="1555" s="8" customFormat="1" ht="12.45"/>
    <row r="1556" s="8" customFormat="1" ht="12.45"/>
    <row r="1557" s="8" customFormat="1" ht="12.45"/>
    <row r="1558" s="8" customFormat="1" ht="12.45"/>
    <row r="1559" s="8" customFormat="1" ht="12.45"/>
    <row r="1560" s="8" customFormat="1" ht="12.45"/>
    <row r="1561" s="8" customFormat="1" ht="12.45"/>
    <row r="1562" s="8" customFormat="1" ht="12.45"/>
    <row r="1563" s="8" customFormat="1" ht="12.45"/>
    <row r="1564" s="8" customFormat="1" ht="12.45"/>
    <row r="1565" s="8" customFormat="1" ht="12.45"/>
    <row r="1566" s="8" customFormat="1" ht="12.45"/>
    <row r="1567" s="8" customFormat="1" ht="12.45"/>
    <row r="1568" s="8" customFormat="1" ht="12.45"/>
    <row r="1569" s="8" customFormat="1" ht="12.45"/>
    <row r="1570" s="8" customFormat="1" ht="12.45"/>
    <row r="1571" s="8" customFormat="1" ht="12.45"/>
    <row r="1572" s="8" customFormat="1" ht="12.45"/>
    <row r="1573" s="8" customFormat="1" ht="12.45"/>
    <row r="1574" s="8" customFormat="1" ht="12.45"/>
    <row r="1575" s="8" customFormat="1" ht="12.45"/>
    <row r="1576" s="8" customFormat="1" ht="12.45"/>
    <row r="1577" s="8" customFormat="1" ht="12.45"/>
    <row r="1578" s="8" customFormat="1" ht="12.45"/>
    <row r="1579" s="8" customFormat="1" ht="12.45"/>
    <row r="1580" s="8" customFormat="1" ht="12.45"/>
    <row r="1581" s="8" customFormat="1" ht="12.45"/>
    <row r="1582" s="8" customFormat="1" ht="12.45"/>
    <row r="1583" s="8" customFormat="1" ht="12.45"/>
    <row r="1584" s="8" customFormat="1" ht="12.45"/>
    <row r="1585" s="8" customFormat="1" ht="12.45"/>
    <row r="1586" s="8" customFormat="1" ht="12.45"/>
    <row r="1587" s="8" customFormat="1" ht="12.45"/>
    <row r="1588" s="8" customFormat="1" ht="12.45"/>
    <row r="1589" s="8" customFormat="1" ht="12.45"/>
    <row r="1590" s="8" customFormat="1" ht="12.45"/>
    <row r="1591" s="8" customFormat="1" ht="12.45"/>
    <row r="1592" s="8" customFormat="1" ht="12.45"/>
    <row r="1593" s="8" customFormat="1" ht="12.45"/>
    <row r="1594" s="8" customFormat="1" ht="12.45"/>
    <row r="1595" s="8" customFormat="1" ht="12.45"/>
    <row r="1596" s="8" customFormat="1" ht="12.45"/>
    <row r="1597" s="8" customFormat="1" ht="12.45"/>
    <row r="1598" s="8" customFormat="1" ht="12.45"/>
    <row r="1599" s="8" customFormat="1" ht="12.45"/>
    <row r="1600" s="8" customFormat="1" ht="12.45"/>
    <row r="1601" s="8" customFormat="1" ht="12.45"/>
    <row r="1602" s="8" customFormat="1" ht="12.45"/>
    <row r="1603" s="8" customFormat="1" ht="12.45"/>
    <row r="1604" s="8" customFormat="1" ht="12.45"/>
    <row r="1605" s="8" customFormat="1" ht="12.45"/>
    <row r="1606" s="8" customFormat="1" ht="12.45"/>
    <row r="1607" s="8" customFormat="1" ht="12.45"/>
    <row r="1608" s="8" customFormat="1" ht="12.45"/>
    <row r="1609" s="8" customFormat="1" ht="12.45"/>
    <row r="1610" s="8" customFormat="1" ht="12.45"/>
    <row r="1611" s="8" customFormat="1" ht="12.45"/>
    <row r="1612" s="8" customFormat="1" ht="12.45"/>
    <row r="1613" s="8" customFormat="1" ht="12.45"/>
    <row r="1614" s="8" customFormat="1" ht="12.45"/>
    <row r="1615" s="8" customFormat="1" ht="12.45"/>
    <row r="1616" s="8" customFormat="1" ht="12.45"/>
    <row r="1617" s="8" customFormat="1" ht="12.45"/>
    <row r="1618" s="8" customFormat="1" ht="12.45"/>
    <row r="1619" s="8" customFormat="1" ht="12.45"/>
    <row r="1620" s="8" customFormat="1" ht="12.45"/>
    <row r="1621" s="8" customFormat="1" ht="12.45"/>
    <row r="1622" s="8" customFormat="1" ht="12.45"/>
    <row r="1623" s="8" customFormat="1" ht="12.45"/>
    <row r="1624" s="8" customFormat="1" ht="12.45"/>
    <row r="1625" s="8" customFormat="1" ht="12.45"/>
    <row r="1626" s="8" customFormat="1" ht="12.45"/>
    <row r="1627" s="8" customFormat="1" ht="12.45"/>
    <row r="1628" s="8" customFormat="1" ht="12.45"/>
    <row r="1629" s="8" customFormat="1" ht="12.45"/>
    <row r="1630" s="8" customFormat="1" ht="12.45"/>
    <row r="1631" s="8" customFormat="1" ht="12.45"/>
    <row r="1632" s="8" customFormat="1" ht="12.45"/>
    <row r="1633" s="8" customFormat="1" ht="12.45"/>
    <row r="1634" s="8" customFormat="1" ht="12.45"/>
    <row r="1635" s="8" customFormat="1" ht="12.45"/>
    <row r="1636" s="8" customFormat="1" ht="12.45"/>
    <row r="1637" s="8" customFormat="1" ht="12.45"/>
    <row r="1638" s="8" customFormat="1" ht="12.45"/>
    <row r="1639" s="8" customFormat="1" ht="12.45"/>
    <row r="1640" s="8" customFormat="1" ht="12.45"/>
    <row r="1641" s="8" customFormat="1" ht="12.45"/>
    <row r="1642" s="8" customFormat="1" ht="12.45"/>
    <row r="1643" s="8" customFormat="1" ht="12.45"/>
    <row r="1644" s="8" customFormat="1" ht="12.45"/>
    <row r="1645" s="8" customFormat="1" ht="12.45"/>
    <row r="1646" s="8" customFormat="1" ht="12.45"/>
    <row r="1647" s="8" customFormat="1" ht="12.45"/>
    <row r="1648" s="8" customFormat="1" ht="12.45"/>
    <row r="1649" s="8" customFormat="1" ht="12.45"/>
    <row r="1650" s="8" customFormat="1" ht="12.45"/>
    <row r="1651" s="8" customFormat="1" ht="12.45"/>
    <row r="1652" s="8" customFormat="1" ht="12.45"/>
    <row r="1653" s="8" customFormat="1" ht="12.45"/>
    <row r="1654" s="8" customFormat="1" ht="12.45"/>
    <row r="1655" s="8" customFormat="1" ht="12.45"/>
    <row r="1656" s="8" customFormat="1" ht="12.45"/>
    <row r="1657" s="8" customFormat="1" ht="12.45"/>
    <row r="1658" s="8" customFormat="1" ht="12.45"/>
    <row r="1659" s="8" customFormat="1" ht="12.45"/>
    <row r="1660" s="8" customFormat="1" ht="12.45"/>
    <row r="1661" s="8" customFormat="1" ht="12.45"/>
    <row r="1662" s="8" customFormat="1" ht="12.45"/>
    <row r="1663" s="8" customFormat="1" ht="12.45"/>
    <row r="1664" s="8" customFormat="1" ht="12.45"/>
    <row r="1665" s="8" customFormat="1" ht="12.45"/>
    <row r="1666" s="8" customFormat="1" ht="12.45"/>
    <row r="1667" s="8" customFormat="1" ht="12.45"/>
    <row r="1668" s="8" customFormat="1" ht="12.45"/>
    <row r="1669" s="8" customFormat="1" ht="12.45"/>
    <row r="1670" s="8" customFormat="1" ht="12.45"/>
    <row r="1671" s="8" customFormat="1" ht="12.45"/>
    <row r="1672" s="8" customFormat="1" ht="12.45"/>
    <row r="1673" s="8" customFormat="1" ht="12.45"/>
    <row r="1674" s="8" customFormat="1" ht="12.45"/>
    <row r="1675" s="8" customFormat="1" ht="12.45"/>
    <row r="1676" s="8" customFormat="1" ht="12.45"/>
    <row r="1677" s="8" customFormat="1" ht="12.45"/>
    <row r="1678" s="8" customFormat="1" ht="12.45"/>
    <row r="1679" s="8" customFormat="1" ht="12.45"/>
    <row r="1680" s="8" customFormat="1" ht="12.45"/>
    <row r="1681" s="8" customFormat="1" ht="12.45"/>
    <row r="1682" s="8" customFormat="1" ht="12.45"/>
    <row r="1683" s="8" customFormat="1" ht="12.45"/>
    <row r="1684" s="8" customFormat="1" ht="12.45"/>
    <row r="1685" s="8" customFormat="1" ht="12.45"/>
    <row r="1686" s="8" customFormat="1" ht="12.45"/>
    <row r="1687" s="8" customFormat="1" ht="12.45"/>
    <row r="1688" s="8" customFormat="1" ht="12.45"/>
    <row r="1689" s="8" customFormat="1" ht="12.45"/>
    <row r="1690" s="8" customFormat="1" ht="12.45"/>
    <row r="1691" s="8" customFormat="1" ht="12.45"/>
    <row r="1692" s="8" customFormat="1" ht="12.45"/>
    <row r="1693" s="8" customFormat="1" ht="12.45"/>
    <row r="1694" s="8" customFormat="1" ht="12.45"/>
    <row r="1695" s="8" customFormat="1" ht="12.45"/>
    <row r="1696" s="8" customFormat="1" ht="12.45"/>
    <row r="1697" s="8" customFormat="1" ht="12.45"/>
    <row r="1698" s="8" customFormat="1" ht="12.45"/>
    <row r="1699" s="8" customFormat="1" ht="12.45"/>
    <row r="1700" s="8" customFormat="1" ht="12.45"/>
    <row r="1701" s="8" customFormat="1" ht="12.45"/>
    <row r="1702" s="8" customFormat="1" ht="12.45"/>
    <row r="1703" s="8" customFormat="1" ht="12.45"/>
    <row r="1704" s="8" customFormat="1" ht="12.45"/>
    <row r="1705" s="8" customFormat="1" ht="12.45"/>
    <row r="1706" s="8" customFormat="1" ht="12.45"/>
    <row r="1707" s="8" customFormat="1" ht="12.45"/>
    <row r="1708" s="8" customFormat="1" ht="12.45"/>
    <row r="1709" s="8" customFormat="1" ht="12.45"/>
    <row r="1710" s="8" customFormat="1" ht="12.45"/>
    <row r="1711" s="8" customFormat="1" ht="12.45"/>
    <row r="1712" s="8" customFormat="1" ht="12.45"/>
    <row r="1713" s="8" customFormat="1" ht="12.45"/>
    <row r="1714" s="8" customFormat="1" ht="12.45"/>
    <row r="1715" s="8" customFormat="1" ht="12.45"/>
    <row r="1716" s="8" customFormat="1" ht="12.45"/>
    <row r="1717" s="8" customFormat="1" ht="12.45"/>
    <row r="1718" s="8" customFormat="1" ht="12.45"/>
    <row r="1719" s="8" customFormat="1" ht="12.45"/>
    <row r="1720" s="8" customFormat="1" ht="12.45"/>
    <row r="1721" s="8" customFormat="1" ht="12.45"/>
    <row r="1722" s="8" customFormat="1" ht="12.45"/>
    <row r="1723" s="8" customFormat="1" ht="12.45"/>
    <row r="1724" s="8" customFormat="1" ht="12.45"/>
    <row r="1725" s="8" customFormat="1" ht="12.45"/>
    <row r="1726" s="8" customFormat="1" ht="12.45"/>
    <row r="1727" s="8" customFormat="1" ht="12.45"/>
    <row r="1728" s="8" customFormat="1" ht="12.45"/>
    <row r="1729" s="8" customFormat="1" ht="12.45"/>
    <row r="1730" s="8" customFormat="1" ht="12.45"/>
    <row r="1731" s="8" customFormat="1" ht="12.45"/>
    <row r="1732" s="8" customFormat="1" ht="12.45"/>
    <row r="1733" s="8" customFormat="1" ht="12.45"/>
    <row r="1734" s="8" customFormat="1" ht="12.45"/>
    <row r="1735" s="8" customFormat="1" ht="12.45"/>
    <row r="1736" s="8" customFormat="1" ht="12.45"/>
    <row r="1737" s="8" customFormat="1" ht="12.45"/>
    <row r="1738" s="8" customFormat="1" ht="12.45"/>
    <row r="1739" s="8" customFormat="1" ht="12.45"/>
    <row r="1740" s="8" customFormat="1" ht="12.45"/>
    <row r="1741" s="8" customFormat="1" ht="12.45"/>
    <row r="1742" s="8" customFormat="1" ht="12.45"/>
    <row r="1743" s="8" customFormat="1" ht="12.45"/>
    <row r="1744" s="8" customFormat="1" ht="12.45"/>
    <row r="1745" s="8" customFormat="1" ht="12.45"/>
    <row r="1746" s="8" customFormat="1" ht="12.45"/>
    <row r="1747" s="8" customFormat="1" ht="12.45"/>
    <row r="1748" s="8" customFormat="1" ht="12.45"/>
    <row r="1749" s="8" customFormat="1" ht="12.45"/>
    <row r="1750" s="8" customFormat="1" ht="12.45"/>
    <row r="1751" s="8" customFormat="1" ht="12.45"/>
    <row r="1752" s="8" customFormat="1" ht="12.45"/>
    <row r="1753" s="8" customFormat="1" ht="12.45"/>
    <row r="1754" s="8" customFormat="1" ht="12.45"/>
    <row r="1755" s="8" customFormat="1" ht="12.45"/>
    <row r="1756" s="8" customFormat="1" ht="12.45"/>
    <row r="1757" s="8" customFormat="1" ht="12.45"/>
    <row r="1758" s="8" customFormat="1" ht="12.45"/>
    <row r="1759" s="8" customFormat="1" ht="12.45"/>
    <row r="1760" s="8" customFormat="1" ht="12.45"/>
    <row r="1761" s="8" customFormat="1" ht="12.45"/>
    <row r="1762" s="8" customFormat="1" ht="12.45"/>
    <row r="1763" s="8" customFormat="1" ht="12.45"/>
    <row r="1764" s="8" customFormat="1" ht="12.45"/>
    <row r="1765" s="8" customFormat="1" ht="12.45"/>
    <row r="1766" s="8" customFormat="1" ht="12.45"/>
    <row r="1767" s="8" customFormat="1" ht="12.45"/>
    <row r="1768" s="8" customFormat="1" ht="12.45"/>
    <row r="1769" s="8" customFormat="1" ht="12.45"/>
    <row r="1770" s="8" customFormat="1" ht="12.45"/>
    <row r="1771" s="8" customFormat="1" ht="12.45"/>
    <row r="1772" s="8" customFormat="1" ht="12.45"/>
    <row r="1773" s="8" customFormat="1" ht="12.45"/>
    <row r="1774" s="8" customFormat="1" ht="12.45"/>
    <row r="1775" s="8" customFormat="1" ht="12.45"/>
    <row r="1776" s="8" customFormat="1" ht="12.45"/>
    <row r="1777" s="8" customFormat="1" ht="12.45"/>
    <row r="1778" s="8" customFormat="1" ht="12.45"/>
    <row r="1779" s="8" customFormat="1" ht="12.45"/>
    <row r="1780" s="8" customFormat="1" ht="12.45"/>
    <row r="1781" s="8" customFormat="1" ht="12.45"/>
    <row r="1782" s="8" customFormat="1" ht="12.45"/>
    <row r="1783" s="8" customFormat="1" ht="12.45"/>
    <row r="1784" s="8" customFormat="1" ht="12.45"/>
    <row r="1785" s="8" customFormat="1" ht="12.45"/>
    <row r="1786" s="8" customFormat="1" ht="12.45"/>
    <row r="1787" s="8" customFormat="1" ht="12.45"/>
    <row r="1788" s="8" customFormat="1" ht="12.45"/>
    <row r="1789" s="8" customFormat="1" ht="12.45"/>
    <row r="1790" s="8" customFormat="1" ht="12.45"/>
    <row r="1791" s="8" customFormat="1" ht="12.45"/>
    <row r="1792" s="8" customFormat="1" ht="12.45"/>
    <row r="1793" s="8" customFormat="1" ht="12.45"/>
    <row r="1794" s="8" customFormat="1" ht="12.45"/>
    <row r="1795" s="8" customFormat="1" ht="12.45"/>
    <row r="1796" s="8" customFormat="1" ht="12.45"/>
    <row r="1797" s="8" customFormat="1" ht="12.45"/>
    <row r="1798" s="8" customFormat="1" ht="12.45"/>
    <row r="1799" s="8" customFormat="1" ht="12.45"/>
    <row r="1800" s="8" customFormat="1" ht="12.45"/>
    <row r="1801" s="8" customFormat="1" ht="12.45"/>
    <row r="1802" s="8" customFormat="1" ht="12.45"/>
    <row r="1803" s="8" customFormat="1" ht="12.45"/>
    <row r="1804" s="8" customFormat="1" ht="12.45"/>
    <row r="1805" s="8" customFormat="1" ht="12.45"/>
    <row r="1806" s="8" customFormat="1" ht="12.45"/>
    <row r="1807" s="8" customFormat="1" ht="12.45"/>
    <row r="1808" s="8" customFormat="1" ht="12.45"/>
    <row r="1809" s="8" customFormat="1" ht="12.45"/>
    <row r="1810" s="8" customFormat="1" ht="12.45"/>
    <row r="1811" s="8" customFormat="1" ht="12.45"/>
    <row r="1812" s="8" customFormat="1" ht="12.45"/>
    <row r="1813" s="8" customFormat="1" ht="12.45"/>
    <row r="1814" s="8" customFormat="1" ht="12.45"/>
    <row r="1815" s="8" customFormat="1" ht="12.45"/>
    <row r="1816" s="8" customFormat="1" ht="12.45"/>
    <row r="1817" s="8" customFormat="1" ht="12.45"/>
    <row r="1818" s="8" customFormat="1" ht="12.45"/>
    <row r="1819" s="8" customFormat="1" ht="12.45"/>
    <row r="1820" s="8" customFormat="1" ht="12.45"/>
    <row r="1821" s="8" customFormat="1" ht="12.45"/>
    <row r="1822" s="8" customFormat="1" ht="12.45"/>
    <row r="1823" s="8" customFormat="1" ht="12.45"/>
    <row r="1824" s="8" customFormat="1" ht="12.45"/>
    <row r="1825" s="8" customFormat="1" ht="12.45"/>
    <row r="1826" s="8" customFormat="1" ht="12.45"/>
    <row r="1827" s="8" customFormat="1" ht="12.45"/>
    <row r="1828" s="8" customFormat="1" ht="12.45"/>
    <row r="1829" s="8" customFormat="1" ht="12.45"/>
    <row r="1830" s="8" customFormat="1" ht="12.45"/>
    <row r="1831" s="8" customFormat="1" ht="12.45"/>
    <row r="1832" s="8" customFormat="1" ht="12.45"/>
    <row r="1833" s="8" customFormat="1" ht="12.45"/>
    <row r="1834" s="8" customFormat="1" ht="12.45"/>
    <row r="1835" s="8" customFormat="1" ht="12.45"/>
    <row r="1836" s="8" customFormat="1" ht="12.45"/>
    <row r="1837" s="8" customFormat="1" ht="12.45"/>
    <row r="1838" s="8" customFormat="1" ht="12.45"/>
    <row r="1839" s="8" customFormat="1" ht="12.45"/>
    <row r="1840" s="8" customFormat="1" ht="12.45"/>
    <row r="1841" s="8" customFormat="1" ht="12.45"/>
    <row r="1842" s="8" customFormat="1" ht="12.45"/>
    <row r="1843" s="8" customFormat="1" ht="12.45"/>
    <row r="1844" s="8" customFormat="1" ht="12.45"/>
    <row r="1845" s="8" customFormat="1" ht="12.45"/>
    <row r="1846" s="8" customFormat="1" ht="12.45"/>
    <row r="1847" s="8" customFormat="1" ht="12.45"/>
    <row r="1848" s="8" customFormat="1" ht="12.45"/>
    <row r="1849" s="8" customFormat="1" ht="12.45"/>
    <row r="1850" s="8" customFormat="1" ht="12.45"/>
    <row r="1851" s="8" customFormat="1" ht="12.45"/>
    <row r="1852" s="8" customFormat="1" ht="12.45"/>
    <row r="1853" s="8" customFormat="1" ht="12.45"/>
    <row r="1854" s="8" customFormat="1" ht="12.45"/>
    <row r="1855" s="8" customFormat="1" ht="12.45"/>
    <row r="1856" s="8" customFormat="1" ht="12.45"/>
    <row r="1857" s="8" customFormat="1" ht="12.45"/>
    <row r="1858" s="8" customFormat="1" ht="12.45"/>
    <row r="1859" s="8" customFormat="1" ht="12.45"/>
    <row r="1860" s="8" customFormat="1" ht="12.45"/>
    <row r="1861" s="8" customFormat="1" ht="12.45"/>
    <row r="1862" s="8" customFormat="1" ht="12.45"/>
    <row r="1863" s="8" customFormat="1" ht="12.45"/>
    <row r="1864" s="8" customFormat="1" ht="12.45"/>
    <row r="1865" s="8" customFormat="1" ht="12.45"/>
    <row r="1866" s="8" customFormat="1" ht="12.45"/>
    <row r="1867" s="8" customFormat="1" ht="12.45"/>
    <row r="1868" s="8" customFormat="1" ht="12.45"/>
    <row r="1869" s="8" customFormat="1" ht="12.45"/>
    <row r="1870" s="8" customFormat="1" ht="12.45"/>
    <row r="1871" s="8" customFormat="1" ht="12.45"/>
    <row r="1872" s="8" customFormat="1" ht="12.45"/>
    <row r="1873" s="8" customFormat="1" ht="12.45"/>
    <row r="1874" s="8" customFormat="1" ht="12.45"/>
    <row r="1875" s="8" customFormat="1" ht="12.45"/>
    <row r="1876" s="8" customFormat="1" ht="12.45"/>
    <row r="1877" s="8" customFormat="1" ht="12.45"/>
    <row r="1878" s="8" customFormat="1" ht="12.45"/>
    <row r="1879" s="8" customFormat="1" ht="12.45"/>
    <row r="1880" s="8" customFormat="1" ht="12.45"/>
    <row r="1881" s="8" customFormat="1" ht="12.45"/>
    <row r="1882" s="8" customFormat="1" ht="12.45"/>
    <row r="1883" s="8" customFormat="1" ht="12.45"/>
    <row r="1884" s="8" customFormat="1" ht="12.45"/>
    <row r="1885" s="8" customFormat="1" ht="12.45"/>
    <row r="1886" s="8" customFormat="1" ht="12.45"/>
    <row r="1887" s="8" customFormat="1" ht="12.45"/>
    <row r="1888" s="8" customFormat="1" ht="12.45"/>
    <row r="1889" s="8" customFormat="1" ht="12.45"/>
    <row r="1890" s="8" customFormat="1" ht="12.45"/>
    <row r="1891" s="8" customFormat="1" ht="12.45"/>
    <row r="1892" s="8" customFormat="1" ht="12.45"/>
    <row r="1893" s="8" customFormat="1" ht="12.45"/>
    <row r="1894" s="8" customFormat="1" ht="12.45"/>
    <row r="1895" s="8" customFormat="1" ht="12.45"/>
    <row r="1896" s="8" customFormat="1" ht="12.45"/>
    <row r="1897" s="8" customFormat="1" ht="12.45"/>
    <row r="1898" s="8" customFormat="1" ht="12.45"/>
    <row r="1899" s="8" customFormat="1" ht="12.45"/>
    <row r="1900" s="8" customFormat="1" ht="12.45"/>
  </sheetData>
  <printOptions gridLines="1"/>
  <pageMargins left="0" right="0" top="0.59055118110236227" bottom="0.53" header="0.35433070866141736" footer="0.28000000000000003"/>
  <pageSetup scale="78" orientation="portrait" horizontalDpi="300" verticalDpi="300" r:id="rId1"/>
  <headerFooter alignWithMargins="0">
    <oddHeader>&amp;C&amp;"Calibri"&amp;10&amp;K000000 Unclassified-Non classifié&amp;1#_x000D_</oddHeader>
    <oddFooter>&amp;C_x000D_&amp;1#&amp;"Calibri"&amp;10&amp;K000000 Unclassified-Non classifié</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669532BE59684F8E59807EDB5EB15C" ma:contentTypeVersion="12" ma:contentTypeDescription="Create a new document." ma:contentTypeScope="" ma:versionID="daab9b22c2cddd56dc7a36116479f313">
  <xsd:schema xmlns:xsd="http://www.w3.org/2001/XMLSchema" xmlns:xs="http://www.w3.org/2001/XMLSchema" xmlns:p="http://schemas.microsoft.com/office/2006/metadata/properties" xmlns:ns1="http://schemas.microsoft.com/sharepoint/v3" xmlns:ns2="65ae1bfe-c678-46fd-a9b7-6d3116d889ce" xmlns:ns3="2fdfb6a4-c237-40d8-8d54-22312e514020" targetNamespace="http://schemas.microsoft.com/office/2006/metadata/properties" ma:root="true" ma:fieldsID="37e2d27965d66f5d39cf422432f5c031" ns1:_="" ns2:_="" ns3:_="">
    <xsd:import namespace="http://schemas.microsoft.com/sharepoint/v3"/>
    <xsd:import namespace="65ae1bfe-c678-46fd-a9b7-6d3116d889ce"/>
    <xsd:import namespace="2fdfb6a4-c237-40d8-8d54-22312e51402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5ae1bfe-c678-46fd-a9b7-6d3116d889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dfb6a4-c237-40d8-8d54-22312e51402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32D0040-5179-41CA-BE2D-91689F8C12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5ae1bfe-c678-46fd-a9b7-6d3116d889ce"/>
    <ds:schemaRef ds:uri="2fdfb6a4-c237-40d8-8d54-22312e5140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151EC8-D427-4C7E-8639-0CDA9AB1B3A5}">
  <ds:schemaRefs>
    <ds:schemaRef ds:uri="http://schemas.microsoft.com/sharepoint/v3/contenttype/forms"/>
  </ds:schemaRefs>
</ds:datastoreItem>
</file>

<file path=customXml/itemProps3.xml><?xml version="1.0" encoding="utf-8"?>
<ds:datastoreItem xmlns:ds="http://schemas.openxmlformats.org/officeDocument/2006/customXml" ds:itemID="{3F5F6BFB-6F11-44C3-95B1-D74A48A0F300}">
  <ds:schemaRefs>
    <ds:schemaRef ds:uri="http://schemas.microsoft.com/office/infopath/2007/PartnerControls"/>
    <ds:schemaRef ds:uri="2fdfb6a4-c237-40d8-8d54-22312e514020"/>
    <ds:schemaRef ds:uri="http://schemas.microsoft.com/office/2006/documentManagement/types"/>
    <ds:schemaRef ds:uri="http://purl.org/dc/terms/"/>
    <ds:schemaRef ds:uri="http://schemas.microsoft.com/office/2006/metadata/properties"/>
    <ds:schemaRef ds:uri="65ae1bfe-c678-46fd-a9b7-6d3116d889ce"/>
    <ds:schemaRef ds:uri="http://www.w3.org/XML/1998/namespace"/>
    <ds:schemaRef ds:uri="http://purl.org/dc/elements/1.1/"/>
    <ds:schemaRef ds:uri="http://schemas.openxmlformats.org/package/2006/metadata/core-properties"/>
    <ds:schemaRef ds:uri="http://schemas.microsoft.com/sharepoint/v3"/>
    <ds:schemaRef ds:uri="http://purl.org/dc/dcmitype/"/>
  </ds:schemaRefs>
</ds:datastoreItem>
</file>

<file path=docMetadata/LabelInfo.xml><?xml version="1.0" encoding="utf-8"?>
<clbl:labelList xmlns:clbl="http://schemas.microsoft.com/office/2020/mipLabelMetadata">
  <clbl:label id="{a8836b4b-58b3-4dd7-84fd-8ebdbeb0a0c5}" enabled="1" method="Privileged" siteId="{38b7fc89-dbe8-4ed1-a78b-39dfb6a217a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Cover Page</vt:lpstr>
      <vt:lpstr>Project Budget</vt:lpstr>
      <vt:lpstr>Residential New</vt:lpstr>
      <vt:lpstr>Non-Residential</vt:lpstr>
      <vt:lpstr>Scoring</vt:lpstr>
      <vt:lpstr>Scoring (Reference)</vt:lpstr>
      <vt:lpstr>Lending flex scorecard (hide)</vt:lpstr>
      <vt:lpstr>Market Adj. (hide)</vt:lpstr>
      <vt:lpstr>Mortg Calc</vt:lpstr>
      <vt:lpstr>'Mortg Calc'!Print_Area</vt:lpstr>
      <vt:lpstr>'Non-Residential'!Print_Area</vt:lpstr>
      <vt:lpstr>'Project Budget'!Print_Area</vt:lpstr>
      <vt:lpstr>'Residential New'!Print_Area</vt:lpstr>
      <vt:lpstr>Scoring!Print_Area</vt:lpstr>
    </vt:vector>
  </TitlesOfParts>
  <Manager/>
  <Company>CMHC-SCHL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Original_self-assessment tool ENG</dc:title>
  <dc:subject/>
  <dc:creator>jialeggi</dc:creator>
  <cp:keywords/>
  <dc:description/>
  <cp:lastModifiedBy>Rory de Loë</cp:lastModifiedBy>
  <cp:revision/>
  <dcterms:created xsi:type="dcterms:W3CDTF">2016-12-06T20:15:04Z</dcterms:created>
  <dcterms:modified xsi:type="dcterms:W3CDTF">2026-05-21T15:43:50Z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0x0101009E669532BE59684F8E59807EDB5EB15C</vt:lpwstr>
  </property>
  <property fmtid="{D5CDD505-2E9C-101B-9397-08002B2CF9AE}" pid="3" name="Order">
    <vt:r8>8000</vt:r8>
  </property>
</Properties>
</file>