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37d9f4b104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542f2d696d64e48"/>
    <x:sheet xmlns:r="http://schemas.openxmlformats.org/officeDocument/2006/relationships" name="PROJECT INPUTS" sheetId="2" r:id="R6504fd54d44249cf"/>
    <x:sheet xmlns:r="http://schemas.openxmlformats.org/officeDocument/2006/relationships" name="SITE SCREEN" sheetId="3" r:id="Rfd42af3d1538458b"/>
    <x:sheet xmlns:r="http://schemas.openxmlformats.org/officeDocument/2006/relationships" name="UNIT MIX" sheetId="4" r:id="R681901c32b2f4d18"/>
    <x:sheet xmlns:r="http://schemas.openxmlformats.org/officeDocument/2006/relationships" name="DEVELOPMENT BUDGET" sheetId="5" r:id="R9d043b8a2d6b4374"/>
    <x:sheet xmlns:r="http://schemas.openxmlformats.org/officeDocument/2006/relationships" name="OPERATING PRO FORMA" sheetId="6" r:id="Re665f4c35b544a5b"/>
    <x:sheet xmlns:r="http://schemas.openxmlformats.org/officeDocument/2006/relationships" name="CMHC SCORECARD" sheetId="7" r:id="Rb07879fa738444a9"/>
    <x:sheet xmlns:r="http://schemas.openxmlformats.org/officeDocument/2006/relationships" name="FINANCING" sheetId="8" r:id="Rcae53b92374a4410"/>
    <x:sheet xmlns:r="http://schemas.openxmlformats.org/officeDocument/2006/relationships" name="RETURNS" sheetId="9" r:id="Rbed661f1e9004b3b"/>
    <x:sheet xmlns:r="http://schemas.openxmlformats.org/officeDocument/2006/relationships" name="MAX LAND PRICE" sheetId="10" r:id="R5a99f28afa9849c8"/>
    <x:sheet xmlns:r="http://schemas.openxmlformats.org/officeDocument/2006/relationships" name="DUE DILIGENCE" sheetId="11" r:id="Rb78ff4823bce4db1"/>
    <x:sheet xmlns:r="http://schemas.openxmlformats.org/officeDocument/2006/relationships" name="PROJECT PLAN" sheetId="12" r:id="Rc9240c8264114e1b"/>
    <x:sheet xmlns:r="http://schemas.openxmlformats.org/officeDocument/2006/relationships" name="TEAM &amp; RACI" sheetId="13" r:id="R2e1fc57aa4b2401c"/>
    <x:sheet xmlns:r="http://schemas.openxmlformats.org/officeDocument/2006/relationships" name="DOCUMENT CHECKLIST" sheetId="14" r:id="Rb30b54dac1a34283"/>
    <x:sheet xmlns:r="http://schemas.openxmlformats.org/officeDocument/2006/relationships" name="DASHBOARD" sheetId="15" r:id="Re50ff3e65205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;[Red]($#,##0);-"/>
    <x:numFmt numFmtId="201" formatCode="#,##0;[Red](#,##0);-"/>
    <x:numFmt numFmtId="202" formatCode="0.0%;[Red](0.0%);-"/>
    <x:numFmt numFmtId="203" formatCode="yyyy-mm-dd"/>
    <x:numFmt numFmtId="204" formatCode="0.00x"/>
    <x:numFmt numFmtId="205" formatCode="0.0"/>
    <x:numFmt numFmtId="206" formatCode="0.0x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8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9595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201" fontId="4" fillId="4" borderId="0" xfId="0" applyNumberFormat="1" applyFont="1" applyFill="1" applyBorder="1"/>
    <x:xf numFmtId="201" fontId="4" fillId="4" borderId="1" xfId="0" applyNumberFormat="1" applyFont="1" applyFill="1" applyBorder="1"/>
    <x:xf numFmtId="202" fontId="4" fillId="4" borderId="0" xfId="0" applyNumberFormat="1" applyFont="1" applyFill="1" applyBorder="1"/>
    <x:xf numFmtId="202" fontId="4" fillId="4" borderId="1" xfId="0" applyNumberFormat="1" applyFont="1" applyFill="1" applyBorder="1"/>
    <x:xf numFmtId="203" fontId="4" fillId="4" borderId="0" xfId="0" applyNumberFormat="1" applyFont="1" applyFill="1" applyBorder="1"/>
    <x:xf numFmtId="203" fontId="4" fillId="4" borderId="1" xfId="0" applyNumberFormat="1" applyFont="1" applyFill="1" applyBorder="1"/>
    <x:xf numFmtId="204" fontId="4" fillId="4" borderId="0" xfId="0" applyNumberFormat="1" applyFont="1" applyFill="1" applyBorder="1"/>
    <x:xf numFmtId="204" fontId="4" fillId="4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4" fillId="0" borderId="0" xfId="0" applyNumberFormat="1" applyFont="1" applyFill="1" applyBorder="1"/>
    <x:xf numFmtId="205" fontId="4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3" fillId="0" borderId="0" xfId="0" applyNumberFormat="1" applyFont="1" applyFill="1" applyBorder="1"/>
    <x:xf numFmtId="200" fontId="0" fillId="0" borderId="1" xfId="0" applyNumberFormat="1" applyFont="1" applyFill="1" applyBorder="1"/>
    <x:xf numFmtId="200" fontId="3" fillId="0" borderId="1" xfId="0" applyNumberFormat="1" applyFont="1" applyFill="1" applyBorder="1"/>
    <x:xf numFmtId="201" fontId="0" fillId="0" borderId="0" xfId="0" applyNumberFormat="1" applyFont="1" applyFill="1" applyBorder="1"/>
    <x:xf numFmtId="201" fontId="3" fillId="0" borderId="0" xfId="0" applyNumberFormat="1" applyFont="1" applyFill="1" applyBorder="1"/>
    <x:xf numFmtId="201" fontId="0" fillId="0" borderId="1" xfId="0" applyNumberFormat="1" applyFont="1" applyFill="1" applyBorder="1"/>
    <x:xf numFmtId="201" fontId="3" fillId="0" borderId="1" xfId="0" applyNumberFormat="1" applyFont="1" applyFill="1" applyBorder="1"/>
    <x:xf numFmtId="200" fontId="5" fillId="0" borderId="0" xfId="0" applyNumberFormat="1" applyFont="1" applyFill="1" applyBorder="1"/>
    <x:xf numFmtId="202" fontId="5" fillId="0" borderId="0" xfId="0" applyNumberFormat="1" applyFont="1" applyFill="1" applyBorder="1"/>
    <x:xf numFmtId="200" fontId="5" fillId="0" borderId="1" xfId="0" applyNumberFormat="1" applyFont="1" applyFill="1" applyBorder="1"/>
    <x:xf numFmtId="202" fontId="5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aa333eea51448a" /><Relationship Type="http://schemas.openxmlformats.org/officeDocument/2006/relationships/theme" Target="/xl/theme/theme1.xml" Id="R4f61c47a97bc4dc8" /><Relationship Type="http://schemas.openxmlformats.org/officeDocument/2006/relationships/sharedStrings" Target="/xl/sharedStrings.xml" Id="Rc9e7355ddb5c4f54" /><Relationship Type="http://schemas.openxmlformats.org/officeDocument/2006/relationships/worksheet" Target="/xl/worksheets/sheet1.xml" Id="Rf542f2d696d64e48" /><Relationship Type="http://schemas.openxmlformats.org/officeDocument/2006/relationships/worksheet" Target="/xl/worksheets/sheet2.xml" Id="R6504fd54d44249cf" /><Relationship Type="http://schemas.openxmlformats.org/officeDocument/2006/relationships/worksheet" Target="/xl/worksheets/sheet3.xml" Id="Rfd42af3d1538458b" /><Relationship Type="http://schemas.openxmlformats.org/officeDocument/2006/relationships/worksheet" Target="/xl/worksheets/sheet4.xml" Id="R681901c32b2f4d18" /><Relationship Type="http://schemas.openxmlformats.org/officeDocument/2006/relationships/worksheet" Target="/xl/worksheets/sheet5.xml" Id="R9d043b8a2d6b4374" /><Relationship Type="http://schemas.openxmlformats.org/officeDocument/2006/relationships/worksheet" Target="/xl/worksheets/sheet6.xml" Id="Re665f4c35b544a5b" /><Relationship Type="http://schemas.openxmlformats.org/officeDocument/2006/relationships/worksheet" Target="/xl/worksheets/sheet7.xml" Id="Rb07879fa738444a9" /><Relationship Type="http://schemas.openxmlformats.org/officeDocument/2006/relationships/worksheet" Target="/xl/worksheets/sheet8.xml" Id="Rcae53b92374a4410" /><Relationship Type="http://schemas.openxmlformats.org/officeDocument/2006/relationships/worksheet" Target="/xl/worksheets/sheet9.xml" Id="Rbed661f1e9004b3b" /><Relationship Type="http://schemas.openxmlformats.org/officeDocument/2006/relationships/worksheet" Target="/xl/worksheets/sheet10.xml" Id="R5a99f28afa9849c8" /><Relationship Type="http://schemas.openxmlformats.org/officeDocument/2006/relationships/worksheet" Target="/xl/worksheets/sheet11.xml" Id="Rb78ff4823bce4db1" /><Relationship Type="http://schemas.openxmlformats.org/officeDocument/2006/relationships/worksheet" Target="/xl/worksheets/sheet12.xml" Id="Rc9240c8264114e1b" /><Relationship Type="http://schemas.openxmlformats.org/officeDocument/2006/relationships/worksheet" Target="/xl/worksheets/sheet13.xml" Id="R2e1fc57aa4b2401c" /><Relationship Type="http://schemas.openxmlformats.org/officeDocument/2006/relationships/worksheet" Target="/xl/worksheets/sheet14.xml" Id="Rb30b54dac1a34283" /><Relationship Type="http://schemas.openxmlformats.org/officeDocument/2006/relationships/worksheet" Target="/xl/worksheets/sheet15.xml" Id="Re50ff3e652054e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  <x:col min="3" max="3" width="6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5" t="str">
        <x:v>CMHC ACLP – First Development Acquisition &amp; Execution System</x:v>
      </x:c>
    </x:row>
    <x:row r="3" ht="42" customHeight="1">
      <x:c r="A3" s="10" t="str">
        <x:v>Use this workbook to screen properties, establish a maximum land price, test viability, organize due diligence, model CMHC financing and manage the project through stabilization.</x:v>
      </x:c>
    </x:row>
    <x:row r="5" ht="21" customHeight="1">
      <x:c r="A5" s="14" t="str">
        <x:v>Recommended first-project strategy</x:v>
      </x:c>
    </x:row>
    <x:row r="6">
      <x:c r="A6" s="20" t="str">
        <x:v>Target project</x:v>
      </x:c>
      <x:c r="B6" s="10" t="str">
        <x:v>12–24 purpose-built rental units; the sample base case is 16 units.</x:v>
      </x:c>
    </x:row>
    <x:row r="7">
      <x:c r="A7" s="20" t="str">
        <x:v>Site</x:v>
      </x:c>
      <x:c r="B7" s="10" t="str">
        <x:v>As-of-right multifamily zoning, rectangular lot, municipal services, minimal demolition and contamination risk.</x:v>
      </x:c>
    </x:row>
    <x:row r="8">
      <x:c r="A8" s="20" t="str">
        <x:v>Offer structure</x:v>
      </x:c>
      <x:c r="B8" s="10" t="str">
        <x:v>Conditional offer with zoning, environmental, financing, servicing, title, survey and budget validation.</x:v>
      </x:c>
    </x:row>
    <x:row r="9">
      <x:c r="A9" s="20" t="str">
        <x:v>Primary decision rule</x:v>
      </x:c>
      <x:c r="B9" s="10" t="str">
        <x:v>Do not waive conditions until legal buildability, total cost, rents and financing are supported in writing.</x:v>
      </x:c>
    </x:row>
    <x:row r="10">
      <x:c r="A10" s="20" t="str">
        <x:v>CMHC strategy</x:v>
      </x:c>
      <x:c r="B10" s="10" t="str">
        <x:v>Model a conservative case first; never assume maximum LTC or Tier 1 approval.</x:v>
      </x:c>
    </x:row>
    <x:row r="11">
      <x:c r="A11" s="20" t="str">
        <x:v>Experience mitigation</x:v>
      </x:c>
      <x:c r="B11" s="10" t="str">
        <x:v>Use an experienced fixed-price general contractor and third-party property manager when required.</x:v>
      </x:c>
    </x:row>
    <x:row r="12">
      <x:c r="A12" s="20" t="str">
        <x:v>Professional review</x:v>
      </x:c>
      <x:c r="B12" s="10" t="str">
        <x:v>This is an underwriting and project-management tool, not legal, tax, architectural or lending approval.</x:v>
      </x:c>
    </x:row>
    <x:row r="14" ht="21" customHeight="1">
      <x:c r="A14" s="14" t="str">
        <x:v>How to use the workbook</x:v>
      </x:c>
    </x:row>
    <x:row r="15">
      <x:c r="A15" s="26" t="str">
        <x:v>Step</x:v>
      </x:c>
      <x:c r="B15" s="26" t="str">
        <x:v>Sheet</x:v>
      </x:c>
      <x:c r="C15" s="26" t="str">
        <x:v>Action</x:v>
      </x:c>
    </x:row>
    <x:row r="16">
      <x:c r="A16" s="10" t="n">
        <x:v>1</x:v>
      </x:c>
      <x:c r="B16" s="10" t="str">
        <x:v>PROJECT INPUTS</x:v>
      </x:c>
      <x:c r="C16" s="10" t="str">
        <x:v>Enter the property, zoning envelope, unit count and assumptions.</x:v>
      </x:c>
    </x:row>
    <x:row r="17">
      <x:c r="A17" s="10" t="n">
        <x:v>2</x:v>
      </x:c>
      <x:c r="B17" s="10" t="str">
        <x:v>SITE SCREEN</x:v>
      </x:c>
      <x:c r="C17" s="10" t="str">
        <x:v>Score the site and stop if a fatal issue is identified.</x:v>
      </x:c>
    </x:row>
    <x:row r="18">
      <x:c r="A18" s="10" t="n">
        <x:v>3</x:v>
      </x:c>
      <x:c r="B18" s="10" t="str">
        <x:v>UNIT MIX</x:v>
      </x:c>
      <x:c r="C18" s="10" t="str">
        <x:v>Build market and affordable unit mix and rents.</x:v>
      </x:c>
    </x:row>
    <x:row r="19">
      <x:c r="A19" s="10" t="n">
        <x:v>4</x:v>
      </x:c>
      <x:c r="B19" s="10" t="str">
        <x:v>DEVELOPMENT BUDGET</x:v>
      </x:c>
      <x:c r="C19" s="10" t="str">
        <x:v>Enter costs and replace assumptions with quotations.</x:v>
      </x:c>
    </x:row>
    <x:row r="20">
      <x:c r="A20" s="10" t="n">
        <x:v>5</x:v>
      </x:c>
      <x:c r="B20" s="10" t="str">
        <x:v>OPERATING PRO FORMA</x:v>
      </x:c>
      <x:c r="C20" s="10" t="str">
        <x:v>Validate stabilized revenue, expenses, NOI and value.</x:v>
      </x:c>
    </x:row>
    <x:row r="21">
      <x:c r="A21" s="10" t="n">
        <x:v>6</x:v>
      </x:c>
      <x:c r="B21" s="10" t="str">
        <x:v>CMHC SCORECARD</x:v>
      </x:c>
      <x:c r="C21" s="10" t="str">
        <x:v>Estimate affordability, market and climate points.</x:v>
      </x:c>
    </x:row>
    <x:row r="22">
      <x:c r="A22" s="10" t="n">
        <x:v>7</x:v>
      </x:c>
      <x:c r="B22" s="10" t="str">
        <x:v>FINANCING</x:v>
      </x:c>
      <x:c r="C22" s="10" t="str">
        <x:v>Calculate LTC, DCR-constrained proceeds and required equity.</x:v>
      </x:c>
    </x:row>
    <x:row r="23">
      <x:c r="A23" s="10" t="n">
        <x:v>8</x:v>
      </x:c>
      <x:c r="B23" s="10" t="str">
        <x:v>RETURNS</x:v>
      </x:c>
      <x:c r="C23" s="10" t="str">
        <x:v>Review profit, yield on cost and downside cases.</x:v>
      </x:c>
    </x:row>
    <x:row r="24">
      <x:c r="A24" s="10" t="n">
        <x:v>9</x:v>
      </x:c>
      <x:c r="B24" s="10" t="str">
        <x:v>MAX LAND PRICE</x:v>
      </x:c>
      <x:c r="C24" s="10" t="str">
        <x:v>Determine the maximum supportable purchase price.</x:v>
      </x:c>
    </x:row>
    <x:row r="25">
      <x:c r="A25" s="10" t="n">
        <x:v>10</x:v>
      </x:c>
      <x:c r="B25" s="10" t="str">
        <x:v>DUE DILIGENCE</x:v>
      </x:c>
      <x:c r="C25" s="10" t="str">
        <x:v>Track every condition, report and written confirmation.</x:v>
      </x:c>
    </x:row>
    <x:row r="26">
      <x:c r="A26" s="10" t="n">
        <x:v>11</x:v>
      </x:c>
      <x:c r="B26" s="10" t="str">
        <x:v>PROJECT PLAN</x:v>
      </x:c>
      <x:c r="C26" s="10" t="str">
        <x:v>Manage the full execution timeline.</x:v>
      </x:c>
    </x:row>
    <x:row r="28" ht="21" customHeight="1">
      <x:c r="A28" s="14" t="str">
        <x:v>Source and limitations</x:v>
      </x:c>
    </x:row>
    <x:row r="29">
      <x:c r="A29" s="20" t="str">
        <x:v>CMHC source</x:v>
      </x:c>
      <x:c r="B29" s="10" t="str">
        <x:v>https://www.cmhc-schl.gc.ca/professionals/project-funding-and-mortgage-financing/funding-programs/all-funding-programs/apartment-construction-loan-program/standard-rental-housing</x:v>
      </x:c>
    </x:row>
    <x:row r="30">
      <x:c r="A30" s="20" t="str">
        <x:v>Uploaded source</x:v>
      </x:c>
      <x:c r="B30" s="10" t="str">
        <x:v>CMHC Apartment Construction Loan Program – Highlight Sheet, Standard Rental (dated 2024-12-16).</x:v>
      </x:c>
    </x:row>
    <x:row r="31">
      <x:c r="A31" s="20" t="str">
        <x:v>Program minimums modeled</x:v>
      </x:c>
      <x:c r="B31" s="10" t="str">
        <x:v>Minimum 5 self-contained units, minimum $1,000,000 loan, primarily residential, affordability maintained at least 10 years.</x:v>
      </x:c>
    </x:row>
    <x:row r="32">
      <x:c r="A32" s="20" t="str">
        <x:v>Published financing framework</x:v>
      </x:c>
      <x:c r="B32" s="10" t="str">
        <x:v>Tier 3: up to 90% LTC / 45 years; Tier 2: up to 95% LTC / 50 years; Tier 1: up to 100% LTC / 50 years and land-equity financing permitted.</x:v>
      </x:c>
    </x:row>
    <x:row r="33">
      <x:c r="A33" s="20" t="str">
        <x:v>Published credit framework</x:v>
      </x:c>
      <x:c r="B33" s="10" t="str">
        <x:v>Residential DCR 1.10; borrower net worth generally at least 25% of requested loan; 100% guarantee during construction and rent-up.</x:v>
      </x:c>
    </x:row>
    <x:row r="34">
      <x:c r="A34" s="20" t="str">
        <x:v>Update requirement</x:v>
      </x:c>
      <x:c r="B34" s="10" t="str">
        <x:v>Confirm current rules, rates, market type, affordability rents and documentation with CMHC or an experienced lender before relying on the model.</x:v>
      </x:c>
    </x:row>
  </x:sheetData>
  <x:mergeCells>
    <x:mergeCell ref="A1:J1"/>
    <x:mergeCell ref="A3:J3"/>
    <x:mergeCell ref="A5:J5"/>
    <x:mergeCell ref="A14:J14"/>
    <x:mergeCell ref="A28:J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3" hidden="0" customWidth="1"/>
    <x:col min="4" max="4" width="38" hidden="0" customWidth="1"/>
    <x:col min="5" max="5" width="25" hidden="0" customWidth="1"/>
    <x:col min="6" max="6" width="3" hidden="0" customWidth="1"/>
  </x:cols>
  <x:sheetData>
    <x:row r="1" ht="28" customHeight="1">
      <x:c r="A1" s="5" t="str">
        <x:v>Project Inputs – Blue Font / Yellow Fill = User Inputs</x:v>
      </x:c>
    </x:row>
    <x:row r="3" ht="21" customHeight="1">
      <x:c r="A3" s="14" t="str">
        <x:v>Property and development concept</x:v>
      </x:c>
    </x:row>
    <x:row r="4">
      <x:c r="A4" t="str">
        <x:v>Project name</x:v>
      </x:c>
      <x:c r="B4" s="34" t="str">
        <x:v>First ACLP Rental Project</x:v>
      </x:c>
      <x:c r="C4" t="str"/>
      <x:c r="D4" t="str">
        <x:v>Municipality</x:v>
      </x:c>
      <x:c r="E4" s="34" t="str">
        <x:v>Montréal, QC</x:v>
      </x:c>
      <x:c r="F4" t="str"/>
    </x:row>
    <x:row r="5">
      <x:c r="A5" t="str">
        <x:v>Property address</x:v>
      </x:c>
      <x:c r="B5" s="34" t="str">
        <x:v>TBD</x:v>
      </x:c>
      <x:c r="C5" t="str"/>
      <x:c r="D5" t="str">
        <x:v>Acquisition closing</x:v>
      </x:c>
      <x:c r="E5" s="42" t="n">
        <x:v>46357</x:v>
      </x:c>
      <x:c r="F5" t="str"/>
    </x:row>
    <x:row r="6">
      <x:c r="A6" t="str">
        <x:v>Land asking price</x:v>
      </x:c>
      <x:c r="B6" s="36" t="n">
        <x:v>1600000</x:v>
      </x:c>
      <x:c r="C6" t="str"/>
      <x:c r="D6" t="str">
        <x:v>Target offer price</x:v>
      </x:c>
      <x:c r="E6" s="36" t="n">
        <x:v>1350000</x:v>
      </x:c>
      <x:c r="F6" t="str"/>
    </x:row>
    <x:row r="7">
      <x:c r="A7" t="str">
        <x:v>Lot area (sq. ft.)</x:v>
      </x:c>
      <x:c r="B7" s="38" t="n">
        <x:v>12000</x:v>
      </x:c>
      <x:c r="C7" t="str"/>
      <x:c r="D7" t="str">
        <x:v>Buildable GFA (sq. ft.)</x:v>
      </x:c>
      <x:c r="E7" s="38" t="n">
        <x:v>18000</x:v>
      </x:c>
      <x:c r="F7" t="str"/>
    </x:row>
    <x:row r="8">
      <x:c r="A8" t="str">
        <x:v>Residential units</x:v>
      </x:c>
      <x:c r="B8" s="34" t="n">
        <x:v>16</x:v>
      </x:c>
      <x:c r="C8" t="str"/>
      <x:c r="D8" t="str">
        <x:v>Commercial GFA %</x:v>
      </x:c>
      <x:c r="E8" s="40" t="n">
        <x:v>0</x:v>
      </x:c>
      <x:c r="F8" t="str"/>
    </x:row>
    <x:row r="9">
      <x:c r="A9" t="str">
        <x:v>Parking stalls</x:v>
      </x:c>
      <x:c r="B9" s="34" t="n">
        <x:v>8</x:v>
      </x:c>
      <x:c r="C9" t="str"/>
      <x:c r="D9" t="str">
        <x:v>Construction months</x:v>
      </x:c>
      <x:c r="E9" s="34" t="n">
        <x:v>18</x:v>
      </x:c>
      <x:c r="F9" t="str"/>
    </x:row>
    <x:row r="10">
      <x:c r="A10" t="str">
        <x:v>Lease-up months</x:v>
      </x:c>
      <x:c r="B10" s="34" t="n">
        <x:v>9</x:v>
      </x:c>
      <x:c r="C10" t="str"/>
      <x:c r="D10" t="str">
        <x:v>Affordability period (years)</x:v>
      </x:c>
      <x:c r="E10" s="34" t="n">
        <x:v>10</x:v>
      </x:c>
      <x:c r="F10" t="str"/>
    </x:row>
    <x:row r="12" ht="21" customHeight="1">
      <x:c r="A12" s="14" t="str">
        <x:v>Core cost and market assumptions</x:v>
      </x:c>
    </x:row>
    <x:row r="13">
      <x:c r="A13" t="str">
        <x:v>Hard cost / GFA sq. ft.</x:v>
      </x:c>
      <x:c r="B13" s="36" t="n">
        <x:v>285</x:v>
      </x:c>
      <x:c r="C13" t="str"/>
      <x:c r="D13" t="str">
        <x:v>Soft costs % of hard cost</x:v>
      </x:c>
      <x:c r="E13" s="40" t="n">
        <x:v>0.18</x:v>
      </x:c>
      <x:c r="F13" t="str"/>
    </x:row>
    <x:row r="14">
      <x:c r="A14" t="str">
        <x:v>Site / demolition</x:v>
      </x:c>
      <x:c r="B14" s="36" t="n">
        <x:v>225000</x:v>
      </x:c>
      <x:c r="C14" t="str"/>
      <x:c r="D14" t="str">
        <x:v>Contingency %</x:v>
      </x:c>
      <x:c r="E14" s="40" t="n">
        <x:v>0.075</x:v>
      </x:c>
      <x:c r="F14" t="str"/>
    </x:row>
    <x:row r="15">
      <x:c r="A15" t="str">
        <x:v>Development fees / permits</x:v>
      </x:c>
      <x:c r="B15" s="36" t="n">
        <x:v>250000</x:v>
      </x:c>
      <x:c r="C15" t="str"/>
      <x:c r="D15" t="str">
        <x:v>Land closing costs %</x:v>
      </x:c>
      <x:c r="E15" s="40" t="n">
        <x:v>0.025</x:v>
      </x:c>
      <x:c r="F15" t="str"/>
    </x:row>
    <x:row r="16">
      <x:c r="A16" t="str">
        <x:v>Construction interest rate</x:v>
      </x:c>
      <x:c r="B16" s="40" t="n">
        <x:v>0.0475</x:v>
      </x:c>
      <x:c r="C16" t="str"/>
      <x:c r="D16" t="str">
        <x:v>Permanent underwriting rate</x:v>
      </x:c>
      <x:c r="E16" s="40" t="n">
        <x:v>0.0475</x:v>
      </x:c>
      <x:c r="F16" t="str"/>
    </x:row>
    <x:row r="17">
      <x:c r="A17" t="str">
        <x:v>Construction interest factor</x:v>
      </x:c>
      <x:c r="B17" s="40" t="n">
        <x:v>0.55</x:v>
      </x:c>
      <x:c r="C17" t="str"/>
      <x:c r="D17" t="str">
        <x:v>CMHC / lender fees</x:v>
      </x:c>
      <x:c r="E17" s="36" t="n">
        <x:v>85000</x:v>
      </x:c>
      <x:c r="F17" t="str"/>
    </x:row>
    <x:row r="18">
      <x:c r="A18" t="str">
        <x:v>Average market rent / unit / month</x:v>
      </x:c>
      <x:c r="B18" s="36" t="n">
        <x:v>2150</x:v>
      </x:c>
      <x:c r="C18" t="str"/>
      <x:c r="D18" t="str">
        <x:v>Average affordable rent / month</x:v>
      </x:c>
      <x:c r="E18" s="34" t="n">
        <x:v>1450</x:v>
      </x:c>
      <x:c r="F18" t="str"/>
    </x:row>
    <x:row r="19">
      <x:c r="A19" t="str">
        <x:v>Other income / unit / month</x:v>
      </x:c>
      <x:c r="B19" s="40" t="n">
        <x:v>125</x:v>
      </x:c>
      <x:c r="C19" t="str"/>
      <x:c r="D19" t="str">
        <x:v>Vacancy &amp; bad debt</x:v>
      </x:c>
      <x:c r="E19" s="40" t="n">
        <x:v>0.03</x:v>
      </x:c>
      <x:c r="F19" t="str"/>
    </x:row>
    <x:row r="20">
      <x:c r="A20" t="str">
        <x:v>Operating expenses / unit / year</x:v>
      </x:c>
      <x:c r="B20" s="36" t="n">
        <x:v>6900</x:v>
      </x:c>
      <x:c r="C20" t="str"/>
      <x:c r="D20" t="str">
        <x:v>Replacement reserve / unit / year</x:v>
      </x:c>
      <x:c r="E20" s="36" t="n">
        <x:v>0</x:v>
      </x:c>
      <x:c r="F20" t="str"/>
    </x:row>
    <x:row r="21">
      <x:c r="A21" t="str">
        <x:v>Stabilized cap rate</x:v>
      </x:c>
      <x:c r="B21" s="40" t="n">
        <x:v>0.0475</x:v>
      </x:c>
      <x:c r="C21" t="str"/>
      <x:c r="D21" t="str">
        <x:v>Selling costs %</x:v>
      </x:c>
      <x:c r="E21" s="40" t="n">
        <x:v>0.02</x:v>
      </x:c>
      <x:c r="F21" t="str"/>
    </x:row>
    <x:row r="22">
      <x:c r="A22" t="str">
        <x:v>Required developer profit on cost</x:v>
      </x:c>
      <x:c r="B22" s="40" t="n">
        <x:v>0.15</x:v>
      </x:c>
      <x:c r="C22" t="str"/>
      <x:c r="D22" t="str">
        <x:v>Required stabilized DCR</x:v>
      </x:c>
      <x:c r="E22" s="44" t="n">
        <x:v>1.1</x:v>
      </x:c>
      <x:c r="F22" t="str"/>
    </x:row>
    <x:row r="23">
      <x:c r="A23" t="str">
        <x:v>Required minimum yield on cost</x:v>
      </x:c>
      <x:c r="B23" s="34" t="n">
        <x:v>0.0575</x:v>
      </x:c>
      <x:c r="C23" t="str"/>
      <x:c r="D23" t="str">
        <x:v>Required contingency at condition waiver</x:v>
      </x:c>
      <x:c r="E23" s="40" t="n">
        <x:v>0.075</x:v>
      </x:c>
      <x:c r="F23" t="str"/>
    </x:row>
    <x:row r="25" ht="21" customHeight="1">
      <x:c r="A25" s="14" t="str">
        <x:v>CMHC preliminary assumptions – confirm with lender</x:v>
      </x:c>
    </x:row>
    <x:row r="26">
      <x:c r="A26" t="str">
        <x:v>Estimated CMHC points</x:v>
      </x:c>
      <x:c r="B26" s="34" t="n">
        <x:v>47</x:v>
      </x:c>
      <x:c r="C26" t="str"/>
      <x:c r="D26" t="str">
        <x:v>Selected tier</x:v>
      </x:c>
      <x:c r="E26" s="34" t="str">
        <x:v>Tier 2</x:v>
      </x:c>
      <x:c r="F26" t="str"/>
    </x:row>
    <x:row r="27">
      <x:c r="A27" t="str">
        <x:v>Maximum residential LTC</x:v>
      </x:c>
      <x:c r="B27" s="40" t="n">
        <x:v>0.95</x:v>
      </x:c>
      <x:c r="C27" t="str"/>
      <x:c r="D27" t="str">
        <x:v>Maximum amortization (years)</x:v>
      </x:c>
      <x:c r="E27" s="34" t="n">
        <x:v>50</x:v>
      </x:c>
      <x:c r="F27" t="str"/>
    </x:row>
    <x:row r="28">
      <x:c r="A28" t="str">
        <x:v>Qualifying spread over indicative rate</x:v>
      </x:c>
      <x:c r="B28" s="40" t="n">
        <x:v>0.01</x:v>
      </x:c>
      <x:c r="C28" t="str"/>
      <x:c r="D28" t="str">
        <x:v>Minimum loan size</x:v>
      </x:c>
      <x:c r="E28" s="36" t="n">
        <x:v>1000000</x:v>
      </x:c>
      <x:c r="F28" t="str"/>
    </x:row>
    <x:row r="29">
      <x:c r="A29" t="str">
        <x:v>Affordable units %</x:v>
      </x:c>
      <x:c r="B29" s="40" t="n">
        <x:v>0.25</x:v>
      </x:c>
      <x:c r="C29" t="str"/>
      <x:c r="D29" t="str">
        <x:v>Affordable rent basis</x:v>
      </x:c>
      <x:c r="E29" s="34" t="str">
        <x:v>25% median income</x:v>
      </x:c>
      <x:c r="F29" t="str"/>
    </x:row>
    <x:row r="30">
      <x:c r="A30" t="str">
        <x:v>Affordable units count</x:v>
      </x:c>
      <x:c r="B30" s="34" t="n">
        <x:v>4</x:v>
      </x:c>
      <x:c r="C30" t="str"/>
      <x:c r="D30" t="str">
        <x:v>Energy target</x:v>
      </x:c>
      <x:c r="E30" s="34" t="str">
        <x:v>Part 3 Tier 2</x:v>
      </x:c>
      <x:c r="F30" t="str"/>
    </x:row>
    <x:row r="31">
      <x:c r="A31" t="str">
        <x:v>Borrower net worth</x:v>
      </x:c>
      <x:c r="B31" s="36" t="n">
        <x:v>5000000</x:v>
      </x:c>
      <x:c r="C31" t="str"/>
      <x:c r="D31" t="str">
        <x:v>Required net worth % of loan</x:v>
      </x:c>
      <x:c r="E31" s="40" t="n">
        <x:v>0.25</x:v>
      </x:c>
      <x:c r="F31" t="str"/>
    </x:row>
    <x:row r="32">
      <x:c r="A32" t="str">
        <x:v>Property management experience</x:v>
      </x:c>
      <x:c r="B32" s="34" t="str">
        <x:v>Third-party manager</x:v>
      </x:c>
      <x:c r="C32" t="str"/>
      <x:c r="D32" t="str">
        <x:v>Construction experience</x:v>
      </x:c>
      <x:c r="E32" s="34" t="str">
        <x:v>Fixed-price experienced GC</x:v>
      </x:c>
      <x:c r="F32" t="str"/>
    </x:row>
    <x:row r="33">
      <x:c r="A33" t="str">
        <x:v>Non-residential LTC</x:v>
      </x:c>
      <x:c r="B33" s="40" t="n">
        <x:v>0.75</x:v>
      </x:c>
      <x:c r="C33" t="str"/>
      <x:c r="D33" t="str">
        <x:v>Non-residential DCR</x:v>
      </x:c>
      <x:c r="E33" s="44" t="n">
        <x:v>1.4</x:v>
      </x:c>
      <x:c r="F33" t="str"/>
    </x:row>
    <x:row r="34">
      <x:c r="A34" t="str">
        <x:v>Market adjustment points</x:v>
      </x:c>
      <x:c r="B34" s="34" t="n">
        <x:v>9</x:v>
      </x:c>
      <x:c r="C34" t="str"/>
      <x:c r="D34" t="str">
        <x:v>Climate points</x:v>
      </x:c>
      <x:c r="E34" s="34" t="n">
        <x:v>10</x:v>
      </x:c>
      <x:c r="F34" t="str"/>
    </x:row>
  </x:sheetData>
  <x:mergeCells>
    <x:mergeCell ref="A1:F1"/>
    <x:mergeCell ref="A3:F3"/>
    <x:mergeCell ref="A12:F12"/>
    <x:mergeCell ref="A25:F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10" hidden="0" customWidth="1"/>
    <x:col min="4" max="4" width="12" hidden="0" customWidth="1"/>
    <x:col min="5" max="5" width="14" hidden="0" customWidth="1"/>
    <x:col min="6" max="6" width="9" hidden="0" customWidth="1"/>
    <x:col min="7" max="7" width="42" hidden="0" customWidth="1"/>
    <x:col min="8" max="8" width="18" hidden="0" customWidth="1"/>
    <x:col min="9" max="9" width="15" hidden="0" customWidth="1"/>
    <x:col min="10" max="10" width="35" hidden="0" customWidth="1"/>
  </x:cols>
  <x:sheetData>
    <x:row r="1" ht="28" customHeight="1">
      <x:c r="A1" s="5" t="str">
        <x:v>Site Acquisition Screen – Fatal Issues Override the Score</x:v>
      </x:c>
    </x:row>
    <x:row r="3">
      <x:c r="A3" s="26" t="str">
        <x:v>Category</x:v>
      </x:c>
      <x:c r="B3" s="26" t="str">
        <x:v>Verification question</x:v>
      </x:c>
      <x:c r="C3" s="26" t="str">
        <x:v>Weight</x:v>
      </x:c>
      <x:c r="D3" s="26" t="str">
        <x:v>Score (0–5)</x:v>
      </x:c>
      <x:c r="E3" s="26" t="str">
        <x:v>Weighted score</x:v>
      </x:c>
      <x:c r="F3" s="26" t="str">
        <x:v>Fatal?</x:v>
      </x:c>
      <x:c r="G3" s="26" t="str">
        <x:v>Evidence required</x:v>
      </x:c>
      <x:c r="H3" s="26" t="str">
        <x:v>Owner</x:v>
      </x:c>
      <x:c r="I3" s="26" t="str">
        <x:v>Status</x:v>
      </x:c>
      <x:c r="J3" s="26" t="str">
        <x:v>Notes</x:v>
      </x:c>
    </x:row>
    <x:row r="4">
      <x:c r="A4" t="str">
        <x:v>Zoning</x:v>
      </x:c>
      <x:c r="B4" t="str">
        <x:v>Multifamily rental use and target unit count are permitted as-of-right</x:v>
      </x:c>
      <x:c r="C4" s="46" t="n">
        <x:v>15</x:v>
      </x:c>
      <x:c r="D4" s="48" t="n">
        <x:v>0</x:v>
      </x:c>
      <x:c r="E4" s="46" t="n">
        <x:f>C4*D4/5</x:f>
        <x:v>0</x:v>
      </x:c>
      <x:c r="F4" s="32" t="str">
        <x:v>No</x:v>
      </x:c>
      <x:c r="G4" t="str">
        <x:v>Written zoning confirmation / zoning extract</x:v>
      </x:c>
      <x:c r="H4" t="str">
        <x:v>Architect</x:v>
      </x:c>
      <x:c r="I4" s="32" t="str">
        <x:v>Not Started</x:v>
      </x:c>
      <x:c r="J4" t="str"/>
    </x:row>
    <x:row r="5">
      <x:c r="A5" t="str">
        <x:v>Density</x:v>
      </x:c>
      <x:c r="B5" t="str">
        <x:v>Permitted GFA, height, setbacks and site coverage support concept</x:v>
      </x:c>
      <x:c r="C5" s="46" t="n">
        <x:v>12</x:v>
      </x:c>
      <x:c r="D5" s="48" t="n">
        <x:v>0</x:v>
      </x:c>
      <x:c r="E5" s="46" t="n">
        <x:f>C5*D5/5</x:f>
        <x:v>0</x:v>
      </x:c>
      <x:c r="F5" s="32" t="str">
        <x:v>No</x:v>
      </x:c>
      <x:c r="G5" t="str">
        <x:v>Preliminary zoning analysis and massing</x:v>
      </x:c>
      <x:c r="H5" t="str">
        <x:v>Architect</x:v>
      </x:c>
      <x:c r="I5" s="32" t="str">
        <x:v>Not Started</x:v>
      </x:c>
      <x:c r="J5" t="str"/>
    </x:row>
    <x:row r="6">
      <x:c r="A6" t="str">
        <x:v>Servicing</x:v>
      </x:c>
      <x:c r="B6" t="str">
        <x:v>Water, sanitary and storm capacity are available</x:v>
      </x:c>
      <x:c r="C6" s="46" t="n">
        <x:v>10</x:v>
      </x:c>
      <x:c r="D6" s="48" t="n">
        <x:v>0</x:v>
      </x:c>
      <x:c r="E6" s="46" t="n">
        <x:f>C6*D6/5</x:f>
        <x:v>0</x:v>
      </x:c>
      <x:c r="F6" s="32" t="str">
        <x:v>No</x:v>
      </x:c>
      <x:c r="G6" t="str">
        <x:v>Municipal written confirmation / civil review</x:v>
      </x:c>
      <x:c r="H6" t="str">
        <x:v>Civil Engineer</x:v>
      </x:c>
      <x:c r="I6" s="32" t="str">
        <x:v>Not Started</x:v>
      </x:c>
      <x:c r="J6" t="str"/>
    </x:row>
    <x:row r="7">
      <x:c r="A7" t="str">
        <x:v>Environmental</x:v>
      </x:c>
      <x:c r="B7" t="str">
        <x:v>No unacceptable contamination or prior high-risk use</x:v>
      </x:c>
      <x:c r="C7" s="46" t="n">
        <x:v>10</x:v>
      </x:c>
      <x:c r="D7" s="48" t="n">
        <x:v>0</x:v>
      </x:c>
      <x:c r="E7" s="46" t="n">
        <x:f>C7*D7/5</x:f>
        <x:v>0</x:v>
      </x:c>
      <x:c r="F7" s="32" t="str">
        <x:v>No</x:v>
      </x:c>
      <x:c r="G7" t="str">
        <x:v>Phase I ESA; Phase II if recommended</x:v>
      </x:c>
      <x:c r="H7" t="str">
        <x:v>Environmental</x:v>
      </x:c>
      <x:c r="I7" s="32" t="str">
        <x:v>Not Started</x:v>
      </x:c>
      <x:c r="J7" t="str"/>
    </x:row>
    <x:row r="8">
      <x:c r="A8" t="str">
        <x:v>Geotechnical</x:v>
      </x:c>
      <x:c r="B8" t="str">
        <x:v>Soil conditions support economical construction</x:v>
      </x:c>
      <x:c r="C8" s="46" t="n">
        <x:v>7</x:v>
      </x:c>
      <x:c r="D8" s="48" t="n">
        <x:v>0</x:v>
      </x:c>
      <x:c r="E8" s="46" t="n">
        <x:f>C8*D8/5</x:f>
        <x:v>0</x:v>
      </x:c>
      <x:c r="F8" s="32" t="str">
        <x:v>No</x:v>
      </x:c>
      <x:c r="G8" t="str">
        <x:v>Desktop review then geotechnical report</x:v>
      </x:c>
      <x:c r="H8" t="str">
        <x:v>Geotechnical</x:v>
      </x:c>
      <x:c r="I8" s="32" t="str">
        <x:v>Not Started</x:v>
      </x:c>
      <x:c r="J8" t="str"/>
    </x:row>
    <x:row r="9">
      <x:c r="A9" t="str">
        <x:v>Title</x:v>
      </x:c>
      <x:c r="B9" t="str">
        <x:v>No servitude, restriction, encroachment or charge blocks project</x:v>
      </x:c>
      <x:c r="C9" s="46" t="n">
        <x:v>8</x:v>
      </x:c>
      <x:c r="D9" s="48" t="n">
        <x:v>0</x:v>
      </x:c>
      <x:c r="E9" s="46" t="n">
        <x:f>C9*D9/5</x:f>
        <x:v>0</x:v>
      </x:c>
      <x:c r="F9" s="32" t="str">
        <x:v>No</x:v>
      </x:c>
      <x:c r="G9" t="str">
        <x:v>Title search, survey and legal review</x:v>
      </x:c>
      <x:c r="H9" t="str">
        <x:v>Lawyer/Notary</x:v>
      </x:c>
      <x:c r="I9" s="32" t="str">
        <x:v>Not Started</x:v>
      </x:c>
      <x:c r="J9" t="str"/>
    </x:row>
    <x:row r="10">
      <x:c r="A10" t="str">
        <x:v>Access / parking</x:v>
      </x:c>
      <x:c r="B10" t="str">
        <x:v>Access, loading, fire route and parking comply</x:v>
      </x:c>
      <x:c r="C10" s="46" t="n">
        <x:v>6</x:v>
      </x:c>
      <x:c r="D10" s="48" t="n">
        <x:v>0</x:v>
      </x:c>
      <x:c r="E10" s="46" t="n">
        <x:f>C10*D10/5</x:f>
        <x:v>0</x:v>
      </x:c>
      <x:c r="F10" s="32" t="str">
        <x:v>No</x:v>
      </x:c>
      <x:c r="G10" t="str">
        <x:v>Concept plan / municipal confirmation</x:v>
      </x:c>
      <x:c r="H10" t="str">
        <x:v>Architect</x:v>
      </x:c>
      <x:c r="I10" s="32" t="str">
        <x:v>Not Started</x:v>
      </x:c>
      <x:c r="J10" t="str"/>
    </x:row>
    <x:row r="11">
      <x:c r="A11" t="str">
        <x:v>Construction</x:v>
      </x:c>
      <x:c r="B11" t="str">
        <x:v>Simple building form and site logistics</x:v>
      </x:c>
      <x:c r="C11" s="46" t="n">
        <x:v>7</x:v>
      </x:c>
      <x:c r="D11" s="48" t="n">
        <x:v>0</x:v>
      </x:c>
      <x:c r="E11" s="46" t="n">
        <x:f>C11*D11/5</x:f>
        <x:v>0</x:v>
      </x:c>
      <x:c r="F11" s="32" t="str">
        <x:v>No</x:v>
      </x:c>
      <x:c r="G11" t="str">
        <x:v>GC preconstruction review</x:v>
      </x:c>
      <x:c r="H11" t="str">
        <x:v>GC</x:v>
      </x:c>
      <x:c r="I11" s="32" t="str">
        <x:v>Not Started</x:v>
      </x:c>
      <x:c r="J11" t="str"/>
    </x:row>
    <x:row r="12">
      <x:c r="A12" t="str">
        <x:v>Market rents</x:v>
      </x:c>
      <x:c r="B12" t="str">
        <x:v>Supported rents create adequate NOI</x:v>
      </x:c>
      <x:c r="C12" s="46" t="n">
        <x:v>10</x:v>
      </x:c>
      <x:c r="D12" s="48" t="n">
        <x:v>0</x:v>
      </x:c>
      <x:c r="E12" s="46" t="n">
        <x:f>C12*D12/5</x:f>
        <x:v>0</x:v>
      </x:c>
      <x:c r="F12" s="32" t="str">
        <x:v>No</x:v>
      </x:c>
      <x:c r="G12" t="str">
        <x:v>Independent rent comparables / market study</x:v>
      </x:c>
      <x:c r="H12" t="str">
        <x:v>Appraiser</x:v>
      </x:c>
      <x:c r="I12" s="32" t="str">
        <x:v>Not Started</x:v>
      </x:c>
      <x:c r="J12" t="str"/>
    </x:row>
    <x:row r="13">
      <x:c r="A13" t="str">
        <x:v>Acquisition price</x:v>
      </x:c>
      <x:c r="B13" t="str">
        <x:v>Residual land value supports offer with margin</x:v>
      </x:c>
      <x:c r="C13" s="46" t="n">
        <x:v>10</x:v>
      </x:c>
      <x:c r="D13" s="48" t="n">
        <x:v>0</x:v>
      </x:c>
      <x:c r="E13" s="46" t="n">
        <x:f>C13*D13/5</x:f>
        <x:v>0</x:v>
      </x:c>
      <x:c r="F13" s="32" t="str">
        <x:v>No</x:v>
      </x:c>
      <x:c r="G13" t="str">
        <x:v>MAX LAND PRICE sheet</x:v>
      </x:c>
      <x:c r="H13" t="str">
        <x:v>Developer</x:v>
      </x:c>
      <x:c r="I13" s="32" t="str">
        <x:v>Not Started</x:v>
      </x:c>
      <x:c r="J13" t="str"/>
    </x:row>
    <x:row r="14">
      <x:c r="A14" t="str">
        <x:v>CMHC fit</x:v>
      </x:c>
      <x:c r="B14" t="str">
        <x:v>Affordability, scoring and borrower capacity appear viable</x:v>
      </x:c>
      <x:c r="C14" s="46" t="n">
        <x:v>5</x:v>
      </x:c>
      <x:c r="D14" s="48" t="n">
        <x:v>0</x:v>
      </x:c>
      <x:c r="E14" s="46" t="n">
        <x:f>C14*D14/5</x:f>
        <x:v>0</x:v>
      </x:c>
      <x:c r="F14" s="32" t="str">
        <x:v>No</x:v>
      </x:c>
      <x:c r="G14" t="str">
        <x:v>Lender pre-screen</x:v>
      </x:c>
      <x:c r="H14" t="str">
        <x:v>CMHC Lender</x:v>
      </x:c>
      <x:c r="I14" s="32" t="str">
        <x:v>Not Started</x:v>
      </x:c>
      <x:c r="J14" t="str"/>
    </x:row>
    <x:row r="16" ht="21" customHeight="1">
      <x:c r="A16" s="14" t="str">
        <x:v>Decision summary</x:v>
      </x:c>
    </x:row>
    <x:row r="17">
      <x:c r="A17" t="str">
        <x:v>Total weighted score</x:v>
      </x:c>
      <x:c r="B17" t="n">
        <x:f>SUM(E4:E14)</x:f>
        <x:v>0</x:v>
      </x:c>
    </x:row>
    <x:row r="18">
      <x:c r="A18" t="str">
        <x:v>Score percentage</x:v>
      </x:c>
      <x:c r="B18" s="50" t="n">
        <x:f>B17/SUM(C4:C14)</x:f>
        <x:v>0</x:v>
      </x:c>
    </x:row>
    <x:row r="19">
      <x:c r="A19" t="str">
        <x:v>Fatal issue count</x:v>
      </x:c>
      <x:c r="B19" t="n">
        <x:f>COUNTIF(F4:F14,"Yes")</x:f>
        <x:v>0</x:v>
      </x:c>
    </x:row>
    <x:row r="20">
      <x:c r="A20" t="str">
        <x:v>Preliminary decision</x:v>
      </x:c>
      <x:c r="B20" s="10" t="str">
        <x:f>IF(B19&gt;0,"STOP / DO NOT WAIVE CONDITIONS",IF(B18&gt;=0.75,"PROCEED TO FULL DUE DILIGENCE",IF(B18&gt;=0.60,"PROCEED WITH CAUTION","REJECT")))</x:f>
        <x:v>REJECT</x:v>
      </x:c>
    </x:row>
    <x:row r="21">
      <x:c r="A21" t="str">
        <x:v>Required action</x:v>
      </x:c>
      <x:c r="B21" s="10" t="str">
        <x:f>IF(B19&gt;0,"Resolve every fatal issue in writing or terminate.",IF(B18&lt;0.60,"Do not spend further professional fees.","Complete professional reports and lender pre-screen."))</x:f>
        <x:v>Do not spend further professional fees.</x:v>
      </x:c>
    </x:row>
  </x:sheetData>
  <x:mergeCells>
    <x:mergeCell ref="A1:J1"/>
    <x:mergeCell ref="A16:J16"/>
  </x:mergeCells>
  <x:dataValidations count="3">
    <x:dataValidation type="list" sqref="D4:D14">
      <x:formula1>"0,1,2,3,4,5"</x:formula1>
    </x:dataValidation>
    <x:dataValidation type="list" sqref="F4:F14">
      <x:formula1>"No,Yes"</x:formula1>
    </x:dataValidation>
    <x:dataValidation type="list" sqref="I4:I14">
      <x:formula1>"Not Started,In Progress,Complete,Issue,N/A"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4" hidden="0" customWidth="1"/>
    <x:col min="4" max="4" width="12" hidden="0" customWidth="1"/>
    <x:col min="5" max="5" width="15" hidden="0" customWidth="1"/>
    <x:col min="6" max="6" width="16" hidden="0" customWidth="1"/>
    <x:col min="7" max="7" width="18" hidden="0" customWidth="1"/>
    <x:col min="8" max="8" width="16" hidden="0" customWidth="1"/>
    <x:col min="9" max="9" width="18" hidden="0" customWidth="1"/>
    <x:col min="10" max="10" width="20" hidden="0" customWidth="1"/>
    <x:col min="11" max="11" width="18" hidden="0" customWidth="1"/>
    <x:col min="12" max="12" width="19" hidden="0" customWidth="1"/>
  </x:cols>
  <x:sheetData>
    <x:row r="1" ht="28" customHeight="1">
      <x:c r="A1" s="5" t="str">
        <x:v>Unit Mix, Rent Roll and Affordability Allocation</x:v>
      </x:c>
    </x:row>
    <x:row r="3">
      <x:c r="A3" s="26" t="str">
        <x:v>Unit Type</x:v>
      </x:c>
      <x:c r="B3" s="26" t="str">
        <x:v>Market Units</x:v>
      </x:c>
      <x:c r="C3" s="26" t="str">
        <x:v>Affordable Units</x:v>
      </x:c>
      <x:c r="D3" s="26" t="str">
        <x:v>Total Units</x:v>
      </x:c>
      <x:c r="E3" s="26" t="str">
        <x:v>Avg. Net Area (sf)</x:v>
      </x:c>
      <x:c r="F3" s="26" t="str">
        <x:v>Market Rent / Mo.</x:v>
      </x:c>
      <x:c r="G3" s="26" t="str">
        <x:v>Affordable Rent / Mo.</x:v>
      </x:c>
      <x:c r="H3" s="26" t="str">
        <x:v>Other Income / Mo.</x:v>
      </x:c>
      <x:c r="I3" s="26" t="str">
        <x:v>Annual Market Rent</x:v>
      </x:c>
      <x:c r="J3" s="26" t="str">
        <x:v>Annual Affordable Rent</x:v>
      </x:c>
      <x:c r="K3" s="26" t="str">
        <x:v>Annual Other Income</x:v>
      </x:c>
      <x:c r="L3" s="26" t="str">
        <x:v>Total Annual Revenue</x:v>
      </x:c>
    </x:row>
    <x:row r="4">
      <x:c r="A4" t="str">
        <x:v>Studio</x:v>
      </x:c>
      <x:c r="B4" s="34" t="n">
        <x:v>1</x:v>
      </x:c>
      <x:c r="C4" s="34" t="n">
        <x:v>0</x:v>
      </x:c>
      <x:c r="D4" t="n">
        <x:f>B4+C4</x:f>
        <x:v>1</x:v>
      </x:c>
      <x:c r="E4" s="38" t="n">
        <x:v>425</x:v>
      </x:c>
      <x:c r="F4" s="36" t="n">
        <x:v>1650</x:v>
      </x:c>
      <x:c r="G4" s="36" t="n">
        <x:v>1200</x:v>
      </x:c>
      <x:c r="H4" s="36" t="n">
        <x:v>100</x:v>
      </x:c>
      <x:c r="I4" s="52" t="n">
        <x:f>B4*F4*12</x:f>
        <x:v>19800</x:v>
      </x:c>
      <x:c r="J4" s="52" t="n">
        <x:f>C4*G4*12</x:f>
        <x:v>0</x:v>
      </x:c>
      <x:c r="K4" s="52" t="n">
        <x:f>D4*H4*12</x:f>
        <x:v>1200</x:v>
      </x:c>
      <x:c r="L4" s="52" t="n">
        <x:f>SUM(I4:K4)</x:f>
        <x:v>21000</x:v>
      </x:c>
    </x:row>
    <x:row r="5">
      <x:c r="A5" t="str">
        <x:v>1 Bedroom</x:v>
      </x:c>
      <x:c r="B5" s="34" t="n">
        <x:v>6</x:v>
      </x:c>
      <x:c r="C5" s="34" t="n">
        <x:v>2</x:v>
      </x:c>
      <x:c r="D5" t="n">
        <x:f>B5+C5</x:f>
        <x:v>8</x:v>
      </x:c>
      <x:c r="E5" s="38" t="n">
        <x:v>575</x:v>
      </x:c>
      <x:c r="F5" s="36" t="n">
        <x:v>2050</x:v>
      </x:c>
      <x:c r="G5" s="36" t="n">
        <x:v>1400</x:v>
      </x:c>
      <x:c r="H5" s="36" t="n">
        <x:v>125</x:v>
      </x:c>
      <x:c r="I5" s="52" t="n">
        <x:f>B5*F5*12</x:f>
        <x:v>147600</x:v>
      </x:c>
      <x:c r="J5" s="52" t="n">
        <x:f>C5*G5*12</x:f>
        <x:v>33600</x:v>
      </x:c>
      <x:c r="K5" s="52" t="n">
        <x:f>D5*H5*12</x:f>
        <x:v>12000</x:v>
      </x:c>
      <x:c r="L5" s="52" t="n">
        <x:f>SUM(I5:K5)</x:f>
        <x:v>193200</x:v>
      </x:c>
    </x:row>
    <x:row r="6">
      <x:c r="A6" t="str">
        <x:v>2 Bedroom</x:v>
      </x:c>
      <x:c r="B6" s="34" t="n">
        <x:v>4</x:v>
      </x:c>
      <x:c r="C6" s="34" t="n">
        <x:v>2</x:v>
      </x:c>
      <x:c r="D6" t="n">
        <x:f>B6+C6</x:f>
        <x:v>6</x:v>
      </x:c>
      <x:c r="E6" s="38" t="n">
        <x:v>775</x:v>
      </x:c>
      <x:c r="F6" s="36" t="n">
        <x:v>2450</x:v>
      </x:c>
      <x:c r="G6" s="36" t="n">
        <x:v>1600</x:v>
      </x:c>
      <x:c r="H6" s="36" t="n">
        <x:v>150</x:v>
      </x:c>
      <x:c r="I6" s="52" t="n">
        <x:f>B6*F6*12</x:f>
        <x:v>117600</x:v>
      </x:c>
      <x:c r="J6" s="52" t="n">
        <x:f>C6*G6*12</x:f>
        <x:v>38400</x:v>
      </x:c>
      <x:c r="K6" s="52" t="n">
        <x:f>D6*H6*12</x:f>
        <x:v>10800</x:v>
      </x:c>
      <x:c r="L6" s="52" t="n">
        <x:f>SUM(I6:K6)</x:f>
        <x:v>166800</x:v>
      </x:c>
    </x:row>
    <x:row r="7">
      <x:c r="A7" t="str">
        <x:v>3 Bedroom</x:v>
      </x:c>
      <x:c r="B7" s="34" t="n">
        <x:v>1</x:v>
      </x:c>
      <x:c r="C7" s="34" t="n">
        <x:v>0</x:v>
      </x:c>
      <x:c r="D7" t="n">
        <x:f>B7+C7</x:f>
        <x:v>1</x:v>
      </x:c>
      <x:c r="E7" s="38" t="n">
        <x:v>975</x:v>
      </x:c>
      <x:c r="F7" s="36" t="n">
        <x:v>2950</x:v>
      </x:c>
      <x:c r="G7" s="36" t="n">
        <x:v>1850</x:v>
      </x:c>
      <x:c r="H7" s="36" t="n">
        <x:v>175</x:v>
      </x:c>
      <x:c r="I7" s="52" t="n">
        <x:f>B7*F7*12</x:f>
        <x:v>35400</x:v>
      </x:c>
      <x:c r="J7" s="52" t="n">
        <x:f>C7*G7*12</x:f>
        <x:v>0</x:v>
      </x:c>
      <x:c r="K7" s="52" t="n">
        <x:f>D7*H7*12</x:f>
        <x:v>2100</x:v>
      </x:c>
      <x:c r="L7" s="52" t="n">
        <x:f>SUM(I7:K7)</x:f>
        <x:v>37500</x:v>
      </x:c>
    </x:row>
    <x:row r="8">
      <x:c r="E8" s="56"/>
      <x:c r="F8" s="52"/>
      <x:c r="G8" s="52"/>
      <x:c r="H8" s="52"/>
      <x:c r="I8" s="52"/>
      <x:c r="J8" s="52"/>
      <x:c r="K8" s="52"/>
      <x:c r="L8" s="52"/>
    </x:row>
    <x:row r="9">
      <x:c r="A9" s="18" t="str">
        <x:v>TOTAL</x:v>
      </x:c>
      <x:c r="B9" s="18" t="n">
        <x:f>SUM(B4:B7)</x:f>
        <x:v>12</x:v>
      </x:c>
      <x:c r="C9" s="18" t="n">
        <x:f>SUM(C4:C7)</x:f>
        <x:v>4</x:v>
      </x:c>
      <x:c r="D9" s="18" t="n">
        <x:f>SUM(D4:D7)</x:f>
        <x:v>16</x:v>
      </x:c>
      <x:c r="E9" s="57" t="n">
        <x:f>SUMPRODUCT(D4:D7,E4:E7)/D9</x:f>
        <x:v>665.625</x:v>
      </x:c>
      <x:c r="F9" s="53" t="str"/>
      <x:c r="G9" s="53" t="str"/>
      <x:c r="H9" s="53" t="str"/>
      <x:c r="I9" s="53" t="n">
        <x:f>SUM(I4:I7)</x:f>
        <x:v>320400</x:v>
      </x:c>
      <x:c r="J9" s="53" t="n">
        <x:f>SUM(J4:J7)</x:f>
        <x:v>72000</x:v>
      </x:c>
      <x:c r="K9" s="53" t="n">
        <x:f>SUM(K4:K7)</x:f>
        <x:v>26100</x:v>
      </x:c>
      <x:c r="L9" s="53" t="n">
        <x:f>SUM(L4:L7)</x:f>
        <x:v>418500</x:v>
      </x:c>
    </x:row>
    <x:row r="11" ht="21" customHeight="1">
      <x:c r="A11" s="14" t="str">
        <x:v>Affordability and efficiency checks</x:v>
      </x:c>
    </x:row>
    <x:row r="12">
      <x:c r="A12" t="str">
        <x:v>Affordable unit percentage</x:v>
      </x:c>
      <x:c r="B12" s="50" t="n">
        <x:f>C9/D9</x:f>
        <x:v>0.25</x:v>
      </x:c>
    </x:row>
    <x:row r="13">
      <x:c r="A13" t="str">
        <x:v>Residential unit count variance</x:v>
      </x:c>
      <x:c r="B13" t="n">
        <x:f>D9-'PROJECT INPUTS'!B8</x:f>
        <x:v>0</x:v>
      </x:c>
    </x:row>
    <x:row r="14">
      <x:c r="A14" t="str">
        <x:v>Average annual revenue / unit</x:v>
      </x:c>
      <x:c r="B14" s="52" t="n">
        <x:f>L9/D9</x:f>
        <x:v>26156.25</x:v>
      </x:c>
    </x:row>
    <x:row r="15">
      <x:c r="A15" t="str">
        <x:v>Net rentable area</x:v>
      </x:c>
      <x:c r="B15" s="56" t="n">
        <x:f>SUMPRODUCT(D4:D7,E4:E7)</x:f>
        <x:v>10650</x:v>
      </x:c>
    </x:row>
    <x:row r="16">
      <x:c r="A16" t="str">
        <x:v>Efficiency ratio (NRA / GFA)</x:v>
      </x:c>
      <x:c r="B16" s="56" t="n">
        <x:f>B15/'PROJECT INPUTS'!E7</x:f>
        <x:v>0.5916666666666667</x:v>
      </x:c>
    </x:row>
    <x:row r="17">
      <x:c r="A17" t="str">
        <x:v>Average unit size</x:v>
      </x:c>
      <x:c r="B17" s="56" t="n">
        <x:f>E9</x:f>
        <x:v>665.625</x:v>
      </x:c>
    </x:row>
    <x:row r="18">
      <x:c r="A18" t="str">
        <x:v>Affordable allocation note</x:v>
      </x:c>
      <x:c r="B18" s="10" t="str">
        <x:v>CMHC considers which unit types are designated affordable even though the scorecard does not differentiate by unit type.</x:v>
      </x:c>
    </x:row>
  </x:sheetData>
  <x:mergeCells>
    <x:mergeCell ref="A1:L1"/>
    <x:mergeCell ref="A11:L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2" hidden="0" customWidth="1"/>
    <x:col min="3" max="3" width="16" hidden="0" customWidth="1"/>
    <x:col min="4" max="4" width="18" hidden="0" customWidth="1"/>
    <x:col min="5" max="5" width="18" hidden="0" customWidth="1"/>
    <x:col min="6" max="6" width="52" hidden="0" customWidth="1"/>
    <x:col min="7" max="7" width="14" hidden="0" customWidth="1"/>
  </x:cols>
  <x:sheetData>
    <x:row r="1" ht="28" customHeight="1">
      <x:c r="A1" s="5" t="str">
        <x:v>Development Budget – Conceptual Until Supported by Quotations</x:v>
      </x:c>
    </x:row>
    <x:row r="3">
      <x:c r="A3" s="26" t="str">
        <x:v>Cost Category</x:v>
      </x:c>
      <x:c r="B3" s="26" t="str">
        <x:v>Basis</x:v>
      </x:c>
      <x:c r="C3" s="26" t="str">
        <x:v>Quantity</x:v>
      </x:c>
      <x:c r="D3" s="26" t="str">
        <x:v>Unit Cost / Rate</x:v>
      </x:c>
      <x:c r="E3" s="26" t="str">
        <x:v>Subtotal</x:v>
      </x:c>
      <x:c r="F3" s="26" t="str">
        <x:v>Source / Required Evidence</x:v>
      </x:c>
      <x:c r="G3" s="26" t="str">
        <x:v>Status</x:v>
      </x:c>
    </x:row>
    <x:row r="4">
      <x:c r="A4" t="str">
        <x:v>Land acquisition</x:v>
      </x:c>
      <x:c r="B4" t="str">
        <x:v>Offer price</x:v>
      </x:c>
      <x:c r="C4" t="n">
        <x:v>1</x:v>
      </x:c>
      <x:c r="D4" s="60" t="n">
        <x:f>'PROJECT INPUTS'!E6</x:f>
        <x:v>1350000</x:v>
      </x:c>
      <x:c r="E4" s="52" t="n">
        <x:f>C4*D4</x:f>
        <x:v>1350000</x:v>
      </x:c>
      <x:c r="F4" t="str">
        <x:v>Signed conditional APS</x:v>
      </x:c>
      <x:c r="G4" t="str">
        <x:v>Input</x:v>
      </x:c>
    </x:row>
    <x:row r="5">
      <x:c r="A5" t="str">
        <x:v>Land closing costs</x:v>
      </x:c>
      <x:c r="B5" t="str">
        <x:v>% of land</x:v>
      </x:c>
      <x:c r="C5" t="n">
        <x:f>'PROJECT INPUTS'!E6</x:f>
        <x:v>1350000</x:v>
      </x:c>
      <x:c r="D5" s="61" t="n">
        <x:f>'PROJECT INPUTS'!E15</x:f>
        <x:v>0.025</x:v>
      </x:c>
      <x:c r="E5" s="52" t="n">
        <x:f>C5*D5</x:f>
        <x:v>33750</x:v>
      </x:c>
      <x:c r="F5" t="str">
        <x:v>Notary, transfer tax, legal and due diligence estimate</x:v>
      </x:c>
      <x:c r="G5" t="str">
        <x:v>Input</x:v>
      </x:c>
    </x:row>
    <x:row r="6">
      <x:c r="A6" t="str">
        <x:v>Demolition / site works</x:v>
      </x:c>
      <x:c r="B6" t="str">
        <x:v>Lump sum</x:v>
      </x:c>
      <x:c r="C6" t="n">
        <x:v>1</x:v>
      </x:c>
      <x:c r="D6" s="60" t="n">
        <x:f>'PROJECT INPUTS'!B14</x:f>
        <x:v>225000</x:v>
      </x:c>
      <x:c r="E6" s="52" t="n">
        <x:f>C6*D6</x:f>
        <x:v>225000</x:v>
      </x:c>
      <x:c r="F6" t="str">
        <x:v>GC quotation</x:v>
      </x:c>
      <x:c r="G6" t="str">
        <x:v>Input</x:v>
      </x:c>
    </x:row>
    <x:row r="7">
      <x:c r="A7" t="str">
        <x:v>Building hard costs</x:v>
      </x:c>
      <x:c r="B7" t="str">
        <x:v>GFA sq. ft.</x:v>
      </x:c>
      <x:c r="C7" t="n">
        <x:f>'PROJECT INPUTS'!E7</x:f>
        <x:v>18000</x:v>
      </x:c>
      <x:c r="D7" s="60" t="n">
        <x:f>'PROJECT INPUTS'!B13</x:f>
        <x:v>285</x:v>
      </x:c>
      <x:c r="E7" s="52" t="n">
        <x:f>C7*D7</x:f>
        <x:v>5130000</x:v>
      </x:c>
      <x:c r="F7" t="str">
        <x:v>Class C then fixed-price GC budget</x:v>
      </x:c>
      <x:c r="G7" t="str">
        <x:v>Input</x:v>
      </x:c>
    </x:row>
    <x:row r="8">
      <x:c r="A8" t="str">
        <x:v>Development / municipal fees</x:v>
      </x:c>
      <x:c r="B8" t="str">
        <x:v>Lump sum</x:v>
      </x:c>
      <x:c r="C8" t="n">
        <x:v>1</x:v>
      </x:c>
      <x:c r="D8" s="60" t="n">
        <x:f>'PROJECT INPUTS'!B15</x:f>
        <x:v>250000</x:v>
      </x:c>
      <x:c r="E8" s="52" t="n">
        <x:f>C8*D8</x:f>
        <x:v>250000</x:v>
      </x:c>
      <x:c r="F8" t="str">
        <x:v>Municipal fee schedule</x:v>
      </x:c>
      <x:c r="G8" t="str">
        <x:v>Input</x:v>
      </x:c>
    </x:row>
    <x:row r="9">
      <x:c r="A9" t="str">
        <x:v>Soft costs</x:v>
      </x:c>
      <x:c r="B9" t="str">
        <x:v>% of hard cost</x:v>
      </x:c>
      <x:c r="C9" t="str"/>
      <x:c r="D9" s="61" t="n">
        <x:f>'PROJECT INPUTS'!E13</x:f>
        <x:v>0.18</x:v>
      </x:c>
      <x:c r="E9" s="52" t="n">
        <x:f>E7*D9</x:f>
        <x:v>923400</x:v>
      </x:c>
      <x:c r="F9" t="str">
        <x:v>Consultant proposals</x:v>
      </x:c>
      <x:c r="G9" t="str">
        <x:v>Input</x:v>
      </x:c>
    </x:row>
    <x:row r="10">
      <x:c r="A10" t="str">
        <x:v>Contingency</x:v>
      </x:c>
      <x:c r="B10" t="str">
        <x:v>% hard + site</x:v>
      </x:c>
      <x:c r="C10" t="str"/>
      <x:c r="D10" s="61" t="n">
        <x:f>'PROJECT INPUTS'!E14</x:f>
        <x:v>0.075</x:v>
      </x:c>
      <x:c r="E10" s="52" t="n">
        <x:f>(E6+E7)*D10</x:f>
        <x:v>401625</x:v>
      </x:c>
      <x:c r="F10" t="str">
        <x:v>Risk-adjusted contingency</x:v>
      </x:c>
      <x:c r="G10" t="str">
        <x:v>Input</x:v>
      </x:c>
    </x:row>
    <x:row r="11">
      <x:c r="A11" t="str">
        <x:v>CMHC / lender fees</x:v>
      </x:c>
      <x:c r="B11" t="str">
        <x:v>Lump sum</x:v>
      </x:c>
      <x:c r="C11" t="n">
        <x:v>1</x:v>
      </x:c>
      <x:c r="D11" s="60" t="n">
        <x:f>'PROJECT INPUTS'!E17</x:f>
        <x:v>85000</x:v>
      </x:c>
      <x:c r="E11" s="52" t="n">
        <x:f>C11*D11</x:f>
        <x:v>85000</x:v>
      </x:c>
      <x:c r="F11" t="str">
        <x:v>Lender estimate</x:v>
      </x:c>
      <x:c r="G11" t="str">
        <x:v>Input</x:v>
      </x:c>
    </x:row>
    <x:row r="12">
      <x:c r="A12" t="str">
        <x:v>Construction interest</x:v>
      </x:c>
      <x:c r="B12" t="str">
        <x:v>Avg. drawn balance</x:v>
      </x:c>
      <x:c r="C12" t="str"/>
      <x:c r="D12" s="60" t="n">
        <x:f>'PROJECT INPUTS'!B16</x:f>
        <x:v>0.0475</x:v>
      </x:c>
      <x:c r="E12" s="52" t="n">
        <x:f>(SUM(E4:E11)+E13+E14+E15)*D12*('PROJECT INPUTS'!E9/12)*'PROJECT INPUTS'!B17</x:f>
        <x:v>350625.385171875</x:v>
      </x:c>
      <x:c r="F12" t="str">
        <x:v>Financing calculation</x:v>
      </x:c>
      <x:c r="G12" t="str">
        <x:v>Formula</x:v>
      </x:c>
    </x:row>
    <x:row r="13">
      <x:c r="A13" t="str">
        <x:v>Property tax / insurance / utilities during construction</x:v>
      </x:c>
      <x:c r="B13" t="str">
        <x:v>Months</x:v>
      </x:c>
      <x:c r="C13" t="n">
        <x:f>'PROJECT INPUTS'!E9</x:f>
        <x:v>18</x:v>
      </x:c>
      <x:c r="D13" s="60" t="n">
        <x:v>12000</x:v>
      </x:c>
      <x:c r="E13" s="52" t="n">
        <x:f>C13*D13</x:f>
        <x:v>216000</x:v>
      </x:c>
      <x:c r="F13" t="str">
        <x:v>Detailed carry schedule</x:v>
      </x:c>
      <x:c r="G13" t="str">
        <x:v>Input</x:v>
      </x:c>
    </x:row>
    <x:row r="14">
      <x:c r="A14" t="str">
        <x:v>Lease-up / marketing / legal</x:v>
      </x:c>
      <x:c r="B14" t="str">
        <x:v>Per unit</x:v>
      </x:c>
      <x:c r="C14" t="n">
        <x:f>'PROJECT INPUTS'!B8</x:f>
        <x:v>16</x:v>
      </x:c>
      <x:c r="D14" s="60" t="n">
        <x:v>4500</x:v>
      </x:c>
      <x:c r="E14" s="52" t="n">
        <x:f>C14*D14</x:f>
        <x:v>72000</x:v>
      </x:c>
      <x:c r="F14" t="str">
        <x:v>Lease-up plan</x:v>
      </x:c>
      <x:c r="G14" t="str">
        <x:v>Input</x:v>
      </x:c>
    </x:row>
    <x:row r="15">
      <x:c r="A15" t="str">
        <x:v>Developer overhead</x:v>
      </x:c>
      <x:c r="B15" t="str">
        <x:v>% pre-interest cost</x:v>
      </x:c>
      <x:c r="C15" t="str"/>
      <x:c r="D15" s="40" t="n">
        <x:v>0.03</x:v>
      </x:c>
      <x:c r="E15" s="52" t="n">
        <x:f>SUM(E4:E11,E13:E14)*D15</x:f>
        <x:v>260603.25</x:v>
      </x:c>
      <x:c r="F15" t="str">
        <x:v>Internal budget</x:v>
      </x:c>
      <x:c r="G15" t="str">
        <x:v>Input</x:v>
      </x:c>
    </x:row>
    <x:row r="16">
      <x:c r="D16" s="52"/>
      <x:c r="E16" s="52"/>
    </x:row>
    <x:row r="17">
      <x:c r="A17" s="18" t="str">
        <x:v>TOTAL DEVELOPMENT COST</x:v>
      </x:c>
      <x:c r="B17" s="18" t="str"/>
      <x:c r="C17" s="18" t="str"/>
      <x:c r="D17" s="53" t="str"/>
      <x:c r="E17" s="53" t="n">
        <x:f>SUM(E4:E15)</x:f>
        <x:v>9298003.635171875</x:v>
      </x:c>
      <x:c r="F17" s="18"/>
      <x:c r="G17" s="18"/>
    </x:row>
    <x:row r="19" ht="21" customHeight="1">
      <x:c r="A19" s="14" t="str">
        <x:v>Key cost metrics</x:v>
      </x:c>
    </x:row>
    <x:row r="20">
      <x:c r="A20" t="str">
        <x:v>Total cost / unit</x:v>
      </x:c>
      <x:c r="B20" s="52" t="n">
        <x:f>E17/'PROJECT INPUTS'!B8</x:f>
        <x:v>581125.2271982422</x:v>
      </x:c>
    </x:row>
    <x:row r="21">
      <x:c r="A21" t="str">
        <x:v>Total cost / GFA sq. ft.</x:v>
      </x:c>
      <x:c r="B21" s="52" t="n">
        <x:f>E17/'PROJECT INPUTS'!E7</x:f>
        <x:v>516.5557575095486</x:v>
      </x:c>
    </x:row>
    <x:row r="22">
      <x:c r="A22" t="str">
        <x:v>Hard cost / unit</x:v>
      </x:c>
      <x:c r="B22" s="52" t="n">
        <x:f>E7/'PROJECT INPUTS'!B8</x:f>
        <x:v>320625</x:v>
      </x:c>
    </x:row>
    <x:row r="23">
      <x:c r="A23" t="str">
        <x:v>Land cost / unit</x:v>
      </x:c>
      <x:c r="B23" s="52" t="n">
        <x:f>E4/'PROJECT INPUTS'!B8</x:f>
        <x:v>84375</x:v>
      </x:c>
    </x:row>
    <x:row r="24">
      <x:c r="A24" t="str">
        <x:v>Land cost / buildable GFA</x:v>
      </x:c>
      <x:c r="B24" s="52" t="n">
        <x:f>E4/'PROJECT INPUTS'!E7</x:f>
        <x:v>75</x:v>
      </x:c>
    </x:row>
    <x:row r="25">
      <x:c r="A25" t="str">
        <x:v>Contingency % of hard + site</x:v>
      </x:c>
      <x:c r="B25" s="50" t="n">
        <x:f>E10/(E6+E7)</x:f>
        <x:v>0.075</x:v>
      </x:c>
    </x:row>
    <x:row r="26">
      <x:c r="A26" t="str">
        <x:v>Budget completeness warning</x:v>
      </x:c>
      <x:c r="B26" s="10" t="str">
        <x:v>Obtain written estimates for all material line items before waiving the acquisition conditions.</x:v>
      </x:c>
    </x:row>
  </x:sheetData>
  <x:mergeCells>
    <x:mergeCell ref="A1:G1"/>
    <x:mergeCell ref="A19:G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9" hidden="0" customWidth="1"/>
    <x:col min="3" max="3" width="15" hidden="0" customWidth="1"/>
    <x:col min="4" max="4" width="50" hidden="0" customWidth="1"/>
    <x:col min="5" max="5" width="12" hidden="0" customWidth="1"/>
    <x:col min="6" max="6" width="12" hidden="0" customWidth="1"/>
  </x:cols>
  <x:sheetData>
    <x:row r="1" ht="28" customHeight="1">
      <x:c r="A1" s="5" t="str">
        <x:v>Stabilized Operating Pro Forma</x:v>
      </x:c>
    </x:row>
    <x:row r="3" ht="21" customHeight="1">
      <x:c r="A3" s="14" t="str">
        <x:v>Revenue</x:v>
      </x:c>
    </x:row>
    <x:row r="4">
      <x:c r="A4" t="str">
        <x:v>Gross residential rent</x:v>
      </x:c>
      <x:c r="B4" s="52" t="n">
        <x:f>'UNIT MIX'!I9+'UNIT MIX'!J9</x:f>
        <x:v>392400</x:v>
      </x:c>
    </x:row>
    <x:row r="5">
      <x:c r="A5" t="str">
        <x:v>Other income</x:v>
      </x:c>
      <x:c r="B5" s="52" t="n">
        <x:f>'UNIT MIX'!K9</x:f>
        <x:v>26100</x:v>
      </x:c>
    </x:row>
    <x:row r="6">
      <x:c r="A6" t="str">
        <x:v>Gross potential revenue</x:v>
      </x:c>
      <x:c r="B6" s="52" t="n">
        <x:f>SUM(B4:B5)</x:f>
        <x:v>418500</x:v>
      </x:c>
    </x:row>
    <x:row r="7">
      <x:c r="A7" t="str">
        <x:v>Vacancy &amp; bad debt</x:v>
      </x:c>
      <x:c r="B7" s="52" t="n">
        <x:f>-B6*'PROJECT INPUTS'!E19</x:f>
        <x:v>-12555</x:v>
      </x:c>
    </x:row>
    <x:row r="8">
      <x:c r="A8" t="str">
        <x:v>Effective gross income</x:v>
      </x:c>
      <x:c r="B8" s="52" t="n">
        <x:f>SUM(B6:B7)</x:f>
        <x:v>405945</x:v>
      </x:c>
    </x:row>
    <x:row r="9">
      <x:c r="A9" t="str">
        <x:v>Revenue / unit</x:v>
      </x:c>
      <x:c r="B9" s="52" t="n">
        <x:f>B8/'PROJECT INPUTS'!B8</x:f>
        <x:v>25371.5625</x:v>
      </x:c>
    </x:row>
    <x:row r="10">
      <x:c r="A10" t="str">
        <x:v>Revenue / rentable sq. ft.</x:v>
      </x:c>
      <x:c r="B10" s="52" t="n">
        <x:f>B8/'UNIT MIX'!B15</x:f>
        <x:v>38.1169014084507</x:v>
      </x:c>
    </x:row>
    <x:row r="12" ht="21" customHeight="1">
      <x:c r="A12" s="14" t="str">
        <x:v>Operating expenses</x:v>
      </x:c>
    </x:row>
    <x:row r="13">
      <x:c r="A13" s="26" t="str">
        <x:v>Expense</x:v>
      </x:c>
      <x:c r="B13" s="26" t="str">
        <x:v>Annual Amount</x:v>
      </x:c>
      <x:c r="C13" s="26" t="str">
        <x:v>% of EGI</x:v>
      </x:c>
      <x:c r="D13" s="26" t="str">
        <x:v>Evidence</x:v>
      </x:c>
    </x:row>
    <x:row r="14">
      <x:c r="A14" t="str">
        <x:v>Property taxes</x:v>
      </x:c>
      <x:c r="B14" s="36" t="n">
        <x:v>64000</x:v>
      </x:c>
      <x:c r="C14" s="50" t="n">
        <x:f>B14/$B$8</x:f>
        <x:v>0.15765682543201665</x:v>
      </x:c>
      <x:c r="D14" t="str">
        <x:v>Municipal estimate / assessor</x:v>
      </x:c>
    </x:row>
    <x:row r="15">
      <x:c r="A15" t="str">
        <x:v>Insurance</x:v>
      </x:c>
      <x:c r="B15" s="36" t="n">
        <x:v>18000</x:v>
      </x:c>
      <x:c r="C15" s="50" t="n">
        <x:f>B15/$B$8</x:f>
        <x:v>0.044340982152754685</x:v>
      </x:c>
      <x:c r="D15" t="str">
        <x:v>Broker quotation</x:v>
      </x:c>
    </x:row>
    <x:row r="16">
      <x:c r="A16" t="str">
        <x:v>Utilities – common / owner paid</x:v>
      </x:c>
      <x:c r="B16" s="36" t="n">
        <x:v>24000</x:v>
      </x:c>
      <x:c r="C16" s="50" t="n">
        <x:f>B16/$B$8</x:f>
        <x:v>0.05912130953700624</x:v>
      </x:c>
      <x:c r="D16" t="str">
        <x:v>Energy model / comparables</x:v>
      </x:c>
    </x:row>
    <x:row r="17">
      <x:c r="A17" t="str">
        <x:v>Repairs and maintenance</x:v>
      </x:c>
      <x:c r="B17" s="36" t="n">
        <x:v>26000</x:v>
      </x:c>
      <x:c r="C17" s="50" t="n">
        <x:f>B17/$B$8</x:f>
        <x:v>0.06404808533175677</x:v>
      </x:c>
      <x:c r="D17" t="str">
        <x:v>Property manager benchmark</x:v>
      </x:c>
    </x:row>
    <x:row r="18">
      <x:c r="A18" t="str">
        <x:v>Administration / accounting / legal</x:v>
      </x:c>
      <x:c r="B18" s="36" t="n">
        <x:v>15000</x:v>
      </x:c>
      <x:c r="C18" s="50" t="n">
        <x:f>B18/$B$8</x:f>
        <x:v>0.0369508184606289</x:v>
      </x:c>
      <x:c r="D18" t="str">
        <x:v>Property manager benchmark</x:v>
      </x:c>
    </x:row>
    <x:row r="19">
      <x:c r="A19" t="str">
        <x:v>Property management</x:v>
      </x:c>
      <x:c r="B19" s="36" t="n">
        <x:v>26000</x:v>
      </x:c>
      <x:c r="C19" s="50" t="n">
        <x:f>B19/$B$8</x:f>
        <x:v>0.06404808533175677</x:v>
      </x:c>
      <x:c r="D19" t="str">
        <x:v>Management proposal</x:v>
      </x:c>
    </x:row>
    <x:row r="20">
      <x:c r="A20" t="str">
        <x:v>Cleaning / snow / landscaping</x:v>
      </x:c>
      <x:c r="B20" s="36" t="n">
        <x:v>17000</x:v>
      </x:c>
      <x:c r="C20" s="50" t="n">
        <x:f>B20/$B$8</x:f>
        <x:v>0.04187759425537942</x:v>
      </x:c>
      <x:c r="D20" t="str">
        <x:v>Service quotations</x:v>
      </x:c>
    </x:row>
    <x:row r="21">
      <x:c r="A21" t="str">
        <x:v>Replacement reserve</x:v>
      </x:c>
      <x:c r="B21" s="36" t="n">
        <x:v>0</x:v>
      </x:c>
      <x:c r="C21" s="50" t="n">
        <x:f>B21/$B$8</x:f>
        <x:v>0</x:v>
      </x:c>
      <x:c r="D21" t="str">
        <x:v>Lender requirement</x:v>
      </x:c>
    </x:row>
    <x:row r="22">
      <x:c r="A22" s="18" t="str">
        <x:v>TOTAL OPERATING EXPENSES</x:v>
      </x:c>
      <x:c r="B22" s="53" t="n">
        <x:f>SUM(B14:B21)</x:f>
        <x:v>190000</x:v>
      </x:c>
      <x:c r="C22" s="66" t="n">
        <x:f>B22/$B$8</x:f>
        <x:v>0.46804370050129945</x:v>
      </x:c>
      <x:c r="D22" s="18" t="str"/>
    </x:row>
    <x:row r="24" ht="21" customHeight="1">
      <x:c r="A24" s="14" t="str">
        <x:v>NOI and value</x:v>
      </x:c>
    </x:row>
    <x:row r="25">
      <x:c r="A25" t="str">
        <x:v>Net operating income</x:v>
      </x:c>
      <x:c r="B25" s="52" t="n">
        <x:f>B8-B22</x:f>
        <x:v>215945</x:v>
      </x:c>
    </x:row>
    <x:row r="26">
      <x:c r="A26" t="str">
        <x:v>Operating expense ratio</x:v>
      </x:c>
      <x:c r="B26" s="50" t="n">
        <x:f>B22/B8</x:f>
        <x:v>0.46804370050129945</x:v>
      </x:c>
    </x:row>
    <x:row r="27">
      <x:c r="A27" t="str">
        <x:v>NOI / unit</x:v>
      </x:c>
      <x:c r="B27" s="52" t="n">
        <x:f>B25/'PROJECT INPUTS'!B8</x:f>
        <x:v>13496.5625</x:v>
      </x:c>
    </x:row>
    <x:row r="28">
      <x:c r="A28" t="str">
        <x:v>Yield on total development cost</x:v>
      </x:c>
      <x:c r="B28" s="50" t="n">
        <x:f>B25/'DEVELOPMENT BUDGET'!E17</x:f>
        <x:v>0.023224877992425976</x:v>
      </x:c>
    </x:row>
    <x:row r="29">
      <x:c r="A29" t="str">
        <x:v>Stabilized value</x:v>
      </x:c>
      <x:c r="B29" s="52" t="n">
        <x:f>B25/'PROJECT INPUTS'!B21</x:f>
        <x:v>4546210.52631579</x:v>
      </x:c>
    </x:row>
    <x:row r="30">
      <x:c r="A30" t="str">
        <x:v>Value / unit</x:v>
      </x:c>
      <x:c r="B30" s="52" t="n">
        <x:f>B29/'PROJECT INPUTS'!B8</x:f>
        <x:v>284138.15789473685</x:v>
      </x:c>
    </x:row>
    <x:row r="31">
      <x:c r="A31" t="str">
        <x:v>Development spread (YOC – cap rate)</x:v>
      </x:c>
      <x:c r="B31" s="50" t="n">
        <x:f>B28-'PROJECT INPUTS'!B21</x:f>
        <x:v>-0.024275122007574024</x:v>
      </x:c>
    </x:row>
  </x:sheetData>
  <x:mergeCells>
    <x:mergeCell ref="A1:F1"/>
    <x:mergeCell ref="A3:F3"/>
    <x:mergeCell ref="A12:F12"/>
    <x:mergeCell ref="A24:F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8" hidden="0" customWidth="1"/>
    <x:col min="4" max="4" width="42" hidden="0" customWidth="1"/>
    <x:col min="5" max="5" width="48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5" t="str">
        <x:v>Preliminary CMHC ACLP Scorecard – Confirm with Lender / CMHC</x:v>
      </x:c>
    </x:row>
    <x:row r="3" ht="21" customHeight="1">
      <x:c r="A3" s="14" t="str">
        <x:v>Affordability commitment</x:v>
      </x:c>
    </x:row>
    <x:row r="4">
      <x:c r="A4" s="26" t="str">
        <x:v>Input</x:v>
      </x:c>
      <x:c r="B4" s="26" t="str">
        <x:v>Value</x:v>
      </x:c>
      <x:c r="C4" s="26" t="str">
        <x:v>Points</x:v>
      </x:c>
      <x:c r="D4" s="26" t="str">
        <x:v>Comment</x:v>
      </x:c>
    </x:row>
    <x:row r="5">
      <x:c r="A5" t="str">
        <x:v>Affordable units %</x:v>
      </x:c>
      <x:c r="B5" s="61" t="n">
        <x:f>'PROJECT INPUTS'!B29</x:f>
        <x:v>0.25</x:v>
      </x:c>
      <x:c r="C5" t="str"/>
      <x:c r="D5" t="str">
        <x:v>20%, 25% or 30% in published table</x:v>
      </x:c>
    </x:row>
    <x:row r="6">
      <x:c r="A6" t="str">
        <x:v>Affordability rent threshold</x:v>
      </x:c>
      <x:c r="B6" s="68" t="str">
        <x:f>'PROJECT INPUTS'!E29</x:f>
        <x:v>25% median income</x:v>
      </x:c>
      <x:c r="C6" t="str"/>
      <x:c r="D6" t="str">
        <x:v>30%, 25%, 20% or 15% of median total income</x:v>
      </x:c>
    </x:row>
    <x:row r="7">
      <x:c r="A7" t="str">
        <x:v>Affordability period</x:v>
      </x:c>
      <x:c r="B7" s="68" t="n">
        <x:f>'PROJECT INPUTS'!E10</x:f>
        <x:v>10</x:v>
      </x:c>
      <x:c r="C7" t="str"/>
      <x:c r="D7" t="str">
        <x:v>10, 15 or 20+ years</x:v>
      </x:c>
    </x:row>
    <x:row r="8">
      <x:c r="A8" t="str">
        <x:v>Affordability points</x:v>
      </x:c>
      <x:c r="B8" t="str"/>
      <x:c r="C8" t="n">
        <x:f>IF(AND(B5=0.2,B6="30% median income",B7=10),0,IF(AND(B5=0.25,B6="25% median income",B7=10),12,IF(AND(B5=0.25,B6="25% median income",B7=15),16,IF(AND(B5=0.25,B6="25% median income",B7&gt;=20),19,IF(AND(B5=0.3,B6="20% median income",B7&gt;=20),43,0)))))</x:f>
        <x:v>12</x:v>
      </x:c>
      <x:c r="D8" t="str">
        <x:v>Enter official points if the selected combination is not captured automatically</x:v>
      </x:c>
    </x:row>
    <x:row r="10" ht="21" customHeight="1">
      <x:c r="A10" s="14" t="str">
        <x:v>Other points</x:v>
      </x:c>
    </x:row>
    <x:row r="11">
      <x:c r="A11" s="26" t="str">
        <x:v>Category</x:v>
      </x:c>
      <x:c r="B11" s="26" t="str">
        <x:v>Points</x:v>
      </x:c>
      <x:c r="C11" s="26" t="str">
        <x:v>Maximum shown</x:v>
      </x:c>
      <x:c r="D11" s="26" t="str">
        <x:v>Evidence</x:v>
      </x:c>
    </x:row>
    <x:row r="12">
      <x:c r="A12" t="str">
        <x:v>Market adjustment</x:v>
      </x:c>
      <x:c r="B12" t="n">
        <x:f>'PROJECT INPUTS'!B34</x:f>
        <x:v>9</x:v>
      </x:c>
      <x:c r="C12" t="n">
        <x:v>18</x:v>
      </x:c>
      <x:c r="D12" t="str">
        <x:v>CMHC market type confirmation</x:v>
      </x:c>
    </x:row>
    <x:row r="13">
      <x:c r="A13" t="str">
        <x:v>Climate commitment</x:v>
      </x:c>
      <x:c r="B13" t="n">
        <x:f>'PROJECT INPUTS'!E34</x:f>
        <x:v>10</x:v>
      </x:c>
      <x:c r="C13" t="n">
        <x:v>35</x:v>
      </x:c>
      <x:c r="D13" t="str">
        <x:v>Energy model and code tier</x:v>
      </x:c>
    </x:row>
    <x:row r="14">
      <x:c r="A14" s="18" t="str">
        <x:v>Total preliminary points</x:v>
      </x:c>
      <x:c r="B14" s="18" t="n">
        <x:f>C8+B12+B13</x:f>
        <x:v>31</x:v>
      </x:c>
      <x:c r="C14" s="18" t="str"/>
      <x:c r="D14" s="18" t="str"/>
    </x:row>
    <x:row r="16" ht="21" customHeight="1">
      <x:c r="A16" s="14" t="str">
        <x:v>Estimated lending tier</x:v>
      </x:c>
    </x:row>
    <x:row r="17">
      <x:c r="A17" s="26" t="str">
        <x:v>Tier</x:v>
      </x:c>
      <x:c r="B17" s="26" t="str">
        <x:v>Minimum points</x:v>
      </x:c>
      <x:c r="C17" s="26" t="str">
        <x:v>Maximum LTC</x:v>
      </x:c>
      <x:c r="D17" s="26" t="str">
        <x:v>Maximum amortization</x:v>
      </x:c>
      <x:c r="E17" s="26" t="str">
        <x:v>Other</x:v>
      </x:c>
    </x:row>
    <x:row r="18">
      <x:c r="A18" t="str">
        <x:v>Tier 3</x:v>
      </x:c>
      <x:c r="B18" t="n">
        <x:v>0</x:v>
      </x:c>
      <x:c r="C18" s="50" t="n">
        <x:v>0.9</x:v>
      </x:c>
      <x:c r="D18" t="n">
        <x:v>45</x:v>
      </x:c>
      <x:c r="E18" t="str">
        <x:v>One 10-year term</x:v>
      </x:c>
    </x:row>
    <x:row r="19">
      <x:c r="A19" t="str">
        <x:v>Tier 2</x:v>
      </x:c>
      <x:c r="B19" t="n">
        <x:v>47</x:v>
      </x:c>
      <x:c r="C19" s="50" t="n">
        <x:v>0.95</x:v>
      </x:c>
      <x:c r="D19" t="n">
        <x:v>50</x:v>
      </x:c>
      <x:c r="E19" t="str">
        <x:v>One 10-year term</x:v>
      </x:c>
    </x:row>
    <x:row r="20">
      <x:c r="A20" t="str">
        <x:v>Tier 1</x:v>
      </x:c>
      <x:c r="B20" t="n">
        <x:v>65</x:v>
      </x:c>
      <x:c r="C20" s="50" t="n">
        <x:v>1</x:v>
      </x:c>
      <x:c r="D20" t="n">
        <x:v>50</x:v>
      </x:c>
      <x:c r="E20" t="str">
        <x:v>10- or 20-year term; land equity financing permitted</x:v>
      </x:c>
    </x:row>
    <x:row r="21">
      <x:c r="A21" t="str">
        <x:v>Estimated tier</x:v>
      </x:c>
      <x:c r="B21" t="str">
        <x:f>IF(B14&gt;=65,"Tier 1",IF(B14&gt;=47,"Tier 2","Tier 3"))</x:f>
        <x:v>Tier 3</x:v>
      </x:c>
      <x:c r="C21" t="str"/>
      <x:c r="D21" t="str"/>
      <x:c r="E21" t="str"/>
    </x:row>
    <x:row r="23">
      <x:c r="A23" s="71" t="str">
        <x:v>Important</x:v>
      </x:c>
      <x:c r="B23" s="71" t="str"/>
      <x:c r="C23" s="71" t="str"/>
      <x:c r="D23" s="71" t="str"/>
      <x:c r="E23" s="71" t="str"/>
      <x:c r="F23" s="71" t="str"/>
      <x:c r="G23" s="71" t="str"/>
      <x:c r="H23" s="71" t="str"/>
    </x:row>
    <x:row r="24">
      <x:c r="A24" s="10" t="str">
        <x:v>CMHC may negotiate a lower loan amount based on available funding, unit targets and credit assessment even when a scorecard tier appears available.</x:v>
      </x:c>
      <x:c r="B24" t="str"/>
      <x:c r="C24" t="str"/>
      <x:c r="D24" t="str"/>
      <x:c r="E24" t="str"/>
      <x:c r="F24" t="str"/>
      <x:c r="G24" t="str"/>
      <x:c r="H24" t="str"/>
    </x:row>
    <x:row r="25">
      <x:c r="A25" s="10" t="str">
        <x:v>This sheet does not determine eligibility. Confirm affordability rents, market type, energy tier, documentation and final scoring with the lender.</x:v>
      </x:c>
      <x:c r="B25" t="str"/>
      <x:c r="C25" t="str"/>
      <x:c r="D25" t="str"/>
      <x:c r="E25" t="str"/>
      <x:c r="F25" t="str"/>
      <x:c r="G25" t="str"/>
      <x:c r="H25" t="str"/>
    </x:row>
    <x:row r="26">
      <x:c r="A26" t="str">
        <x:v>Source</x:v>
      </x:c>
      <x:c r="B26" t="str">
        <x:v>https://www.cmhc-schl.gc.ca/professionals/project-funding-and-mortgage-financing/funding-programs/all-funding-programs/apartment-construction-loan-program/standard-rental-housing</x:v>
      </x:c>
      <x:c r="C26" t="str"/>
      <x:c r="D26" t="str"/>
      <x:c r="E26" t="str"/>
      <x:c r="F26" t="str"/>
      <x:c r="G26" t="str"/>
      <x:c r="H26" t="str"/>
    </x:row>
  </x:sheetData>
  <x:mergeCells>
    <x:mergeCell ref="A1:H1"/>
    <x:mergeCell ref="A3:H3"/>
    <x:mergeCell ref="A10:H10"/>
    <x:mergeCell ref="A16:H16"/>
    <x:mergeCell ref="A24:H24"/>
    <x:mergeCell ref="A25:H2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4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5" t="str">
        <x:v>Financing – LTC and DCR Constraints</x:v>
      </x:c>
    </x:row>
    <x:row r="3" ht="21" customHeight="1">
      <x:c r="A3" s="14" t="str">
        <x:v>Loan sizing</x:v>
      </x:c>
    </x:row>
    <x:row r="4">
      <x:c r="A4" t="str">
        <x:v>Total development cost</x:v>
      </x:c>
      <x:c r="B4" s="52" t="n">
        <x:f>'DEVELOPMENT BUDGET'!E17</x:f>
        <x:v>9298003.635171875</x:v>
      </x:c>
    </x:row>
    <x:row r="5">
      <x:c r="A5" t="str">
        <x:v>Selected maximum LTC</x:v>
      </x:c>
      <x:c r="B5" s="50" t="n">
        <x:f>'PROJECT INPUTS'!B27</x:f>
        <x:v>0.95</x:v>
      </x:c>
    </x:row>
    <x:row r="6">
      <x:c r="A6" t="str">
        <x:v>LTC-constrained loan</x:v>
      </x:c>
      <x:c r="B6" s="52" t="n">
        <x:f>B4*B5</x:f>
        <x:v>8833103.453413282</x:v>
      </x:c>
    </x:row>
    <x:row r="7">
      <x:c r="A7" t="str">
        <x:v>Stabilized NOI</x:v>
      </x:c>
      <x:c r="B7" s="52" t="n">
        <x:f>'OPERATING PRO FORMA'!B25</x:f>
        <x:v>215945</x:v>
      </x:c>
    </x:row>
    <x:row r="8">
      <x:c r="A8" t="str">
        <x:v>Qualifying interest rate</x:v>
      </x:c>
      <x:c r="B8" s="50" t="n">
        <x:f>MAX(0.02,'PROJECT INPUTS'!E16+'PROJECT INPUTS'!B28)</x:f>
        <x:v>0.0575</x:v>
      </x:c>
    </x:row>
    <x:row r="9">
      <x:c r="A9" t="str">
        <x:v>Amortization years</x:v>
      </x:c>
      <x:c r="B9" t="n">
        <x:f>'PROJECT INPUTS'!E27</x:f>
        <x:v>50</x:v>
      </x:c>
    </x:row>
    <x:row r="10">
      <x:c r="A10" t="str">
        <x:v>Annual mortgage constant</x:v>
      </x:c>
      <x:c r="B10" s="50" t="n">
        <x:f>B8*(1+B8)^B9/((1+B8)^B9-1)</x:f>
        <x:v>0.06124132812033334</x:v>
      </x:c>
    </x:row>
    <x:row r="11">
      <x:c r="A11" t="str">
        <x:v>DCR requirement</x:v>
      </x:c>
      <x:c r="B11" s="74" t="n">
        <x:f>'PROJECT INPUTS'!E22</x:f>
        <x:v>1.1</x:v>
      </x:c>
    </x:row>
    <x:row r="12">
      <x:c r="A12" t="str">
        <x:v>DCR-constrained annual debt service</x:v>
      </x:c>
      <x:c r="B12" s="52" t="n">
        <x:f>B7/B11</x:f>
        <x:v>196313.63636363635</x:v>
      </x:c>
    </x:row>
    <x:row r="13">
      <x:c r="A13" t="str">
        <x:v>DCR-constrained loan</x:v>
      </x:c>
      <x:c r="B13" s="52" t="n">
        <x:f>B12/B10</x:f>
        <x:v>3205574.444399685</x:v>
      </x:c>
    </x:row>
    <x:row r="14">
      <x:c r="A14" t="str">
        <x:v>Minimum loan size</x:v>
      </x:c>
      <x:c r="B14" s="52" t="n">
        <x:f>'PROJECT INPUTS'!E28</x:f>
        <x:v>1000000</x:v>
      </x:c>
    </x:row>
    <x:row r="15">
      <x:c r="A15" t="str">
        <x:v>Preliminary maximum loan</x:v>
      </x:c>
      <x:c r="B15" s="52" t="n">
        <x:f>IF(MIN(B6,B13)&gt;=B14,MIN(B6,B13),0)</x:f>
        <x:v>3205574.444399685</x:v>
      </x:c>
    </x:row>
    <x:row r="16">
      <x:c r="A16" t="str">
        <x:v>Required cash equity</x:v>
      </x:c>
      <x:c r="B16" s="52" t="n">
        <x:f>B4-B15</x:f>
        <x:v>6092429.190772191</x:v>
      </x:c>
    </x:row>
    <x:row r="17">
      <x:c r="A17" t="str">
        <x:v>Equity % of cost</x:v>
      </x:c>
      <x:c r="B17" s="50" t="n">
        <x:f>B16/B4</x:f>
        <x:v>0.655240568816961</x:v>
      </x:c>
    </x:row>
    <x:row r="19" ht="21" customHeight="1">
      <x:c r="A19" s="14" t="str">
        <x:v>Borrower and guarantee checks</x:v>
      </x:c>
    </x:row>
    <x:row r="20">
      <x:c r="A20" t="str">
        <x:v>Borrower net worth</x:v>
      </x:c>
      <x:c r="B20" s="52" t="n">
        <x:f>'PROJECT INPUTS'!B31</x:f>
        <x:v>5000000</x:v>
      </x:c>
    </x:row>
    <x:row r="21">
      <x:c r="A21" t="str">
        <x:v>Required net worth</x:v>
      </x:c>
      <x:c r="B21" s="52" t="n">
        <x:f>B15*'PROJECT INPUTS'!E31</x:f>
        <x:v>801393.6110999213</x:v>
      </x:c>
    </x:row>
    <x:row r="22">
      <x:c r="A22" t="str">
        <x:v>Net worth surplus / (shortfall)</x:v>
      </x:c>
      <x:c r="B22" s="52" t="n">
        <x:f>B20-B21</x:f>
        <x:v>4198606.388900079</x:v>
      </x:c>
    </x:row>
    <x:row r="23">
      <x:c r="A23" t="str">
        <x:v>Guarantee during construction / rent-up</x:v>
      </x:c>
      <x:c r="B23" t="str">
        <x:v>100% covenant / guarantee assumed</x:v>
      </x:c>
    </x:row>
    <x:row r="24">
      <x:c r="A24" t="str">
        <x:v>Potential post-stabilization recourse</x:v>
      </x:c>
      <x:c r="B24" s="10" t="str">
        <x:v>May become non-recourse after achieving underwritten rental income, subject to CMHC approval.</x:v>
      </x:c>
    </x:row>
    <x:row r="25">
      <x:c r="A25" t="str">
        <x:v>Pre-screen result</x:v>
      </x:c>
      <x:c r="B25" s="10" t="str">
        <x:f>IF(B15=0,"FAIL – loan below minimum or no proceeds",IF(B22&lt;0,"FAIL – net worth shortfall",IF(B17&gt;0.25,"REVIEW – material equity required","PRELIMINARY PASS")))</x:f>
        <x:v>REVIEW – material equity required</x:v>
      </x:c>
    </x:row>
  </x:sheetData>
  <x:mergeCells>
    <x:mergeCell ref="A1:F1"/>
    <x:mergeCell ref="A3:F3"/>
    <x:mergeCell ref="A19:F1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9" hidden="0" customWidth="1"/>
    <x:col min="5" max="5" width="18" hidden="0" customWidth="1"/>
    <x:col min="6" max="6" width="18" hidden="0" customWidth="1"/>
  </x:cols>
  <x:sheetData>
    <x:row r="1" ht="28" customHeight="1">
      <x:c r="A1" s="5" t="str">
        <x:v>Developer Returns and Investment Thresholds</x:v>
      </x:c>
    </x:row>
    <x:row r="3" ht="21" customHeight="1">
      <x:c r="A3" s="14" t="str">
        <x:v>Base-case returns</x:v>
      </x:c>
    </x:row>
    <x:row r="4">
      <x:c r="A4" t="str">
        <x:v>Total development cost</x:v>
      </x:c>
      <x:c r="B4" s="52" t="n">
        <x:f>'DEVELOPMENT BUDGET'!E17</x:f>
        <x:v>9298003.635171875</x:v>
      </x:c>
    </x:row>
    <x:row r="5">
      <x:c r="A5" t="str">
        <x:v>Stabilized value</x:v>
      </x:c>
      <x:c r="B5" s="52" t="n">
        <x:f>'OPERATING PRO FORMA'!B29</x:f>
        <x:v>4546210.52631579</x:v>
      </x:c>
    </x:row>
    <x:row r="6">
      <x:c r="A6" t="str">
        <x:v>Development profit</x:v>
      </x:c>
      <x:c r="B6" s="52" t="n">
        <x:f>B5-B4</x:f>
        <x:v>-4751793.108856086</x:v>
      </x:c>
    </x:row>
    <x:row r="7">
      <x:c r="A7" t="str">
        <x:v>Profit on cost</x:v>
      </x:c>
      <x:c r="B7" s="50" t="n">
        <x:f>B6/B4</x:f>
        <x:v>-0.5110552001594532</x:v>
      </x:c>
    </x:row>
    <x:row r="8">
      <x:c r="A8" t="str">
        <x:v>Stabilized NOI</x:v>
      </x:c>
      <x:c r="B8" s="52" t="n">
        <x:f>'OPERATING PRO FORMA'!B25</x:f>
        <x:v>215945</x:v>
      </x:c>
    </x:row>
    <x:row r="9">
      <x:c r="A9" t="str">
        <x:v>Yield on cost</x:v>
      </x:c>
      <x:c r="B9" s="50" t="n">
        <x:f>B8/B4</x:f>
        <x:v>0.023224877992425976</x:v>
      </x:c>
    </x:row>
    <x:row r="10">
      <x:c r="A10" t="str">
        <x:v>Development spread</x:v>
      </x:c>
      <x:c r="B10" s="50" t="n">
        <x:f>B9-'PROJECT INPUTS'!B21</x:f>
        <x:v>-0.024275122007574024</x:v>
      </x:c>
    </x:row>
    <x:row r="11">
      <x:c r="A11" t="str">
        <x:v>Required cash equity</x:v>
      </x:c>
      <x:c r="B11" s="52" t="n">
        <x:f>'FINANCING'!B16</x:f>
        <x:v>6092429.190772191</x:v>
      </x:c>
    </x:row>
    <x:row r="12">
      <x:c r="A12" t="str">
        <x:v>Equity multiple at stabilization</x:v>
      </x:c>
      <x:c r="B12" s="76" t="n">
        <x:f>IF(B11=0,0,(B5-'FINANCING'!B15)/B11)</x:f>
        <x:v>0.22004951390271052</x:v>
      </x:c>
    </x:row>
    <x:row r="13">
      <x:c r="A13" t="str">
        <x:v>Value creation / equity</x:v>
      </x:c>
      <x:c r="B13" s="50" t="n">
        <x:f>IF(B11=0,0,B6/B11)</x:f>
        <x:v>-0.7799504860972895</x:v>
      </x:c>
    </x:row>
    <x:row r="14">
      <x:c r="A14" t="str">
        <x:v>Minimum profit-on-cost threshold</x:v>
      </x:c>
      <x:c r="B14" s="50" t="n">
        <x:f>'PROJECT INPUTS'!B22</x:f>
        <x:v>0.15</x:v>
      </x:c>
    </x:row>
    <x:row r="15">
      <x:c r="A15" t="str">
        <x:v>Investment decision</x:v>
      </x:c>
      <x:c r="B15" s="10" t="str">
        <x:f>IF(AND(B7&gt;=B14,B9&gt;='PROJECT INPUTS'!B23,'FINANCING'!B25="PRELIMINARY PASS"),"GO – subject to all due diligence",IF(B7&lt;0,"NO-GO – destroys value","REVISE / RENEGOTIATE"))</x:f>
        <x:v>NO-GO – destroys value</x:v>
      </x:c>
    </x:row>
    <x:row r="17" ht="21" customHeight="1">
      <x:c r="A17" s="14" t="str">
        <x:v>Downside sensitivity</x:v>
      </x:c>
    </x:row>
    <x:row r="18">
      <x:c r="A18" s="26" t="str">
        <x:v>Scenario</x:v>
      </x:c>
      <x:c r="B18" s="26" t="str">
        <x:v>Rent Change</x:v>
      </x:c>
      <x:c r="C18" s="26" t="str">
        <x:v>Cost Change</x:v>
      </x:c>
      <x:c r="D18" s="26" t="str">
        <x:v>Cap Rate Change</x:v>
      </x:c>
      <x:c r="E18" s="26" t="str">
        <x:v>Profit on Cost</x:v>
      </x:c>
      <x:c r="F18" s="26" t="str">
        <x:v>Decision</x:v>
      </x:c>
    </x:row>
    <x:row r="19">
      <x:c r="A19" t="str">
        <x:v>Base</x:v>
      </x:c>
      <x:c r="B19" s="64" t="n">
        <x:v>0</x:v>
      </x:c>
      <x:c r="C19" s="64" t="n">
        <x:v>0</x:v>
      </x:c>
      <x:c r="D19" s="64" t="n">
        <x:v>0</x:v>
      </x:c>
      <x:c r="E19" s="50" t="n">
        <x:f>((('OPERATING PRO FORMA'!B25*(1+B19))/('PROJECT INPUTS'!B21+D19))-('DEVELOPMENT BUDGET'!E17*(1+C19)))/('DEVELOPMENT BUDGET'!E17*(1+C19))</x:f>
        <x:v>-0.5110552001594532</x:v>
      </x:c>
      <x:c r="F19" t="str">
        <x:f>IF(E19&gt;='PROJECT INPUTS'!B22,"PASS","FAIL")</x:f>
        <x:v>FAIL</x:v>
      </x:c>
    </x:row>
    <x:row r="20">
      <x:c r="A20" t="str">
        <x:v>Rents -5%</x:v>
      </x:c>
      <x:c r="B20" s="64" t="n">
        <x:v>-0.05</x:v>
      </x:c>
      <x:c r="C20" s="64" t="n">
        <x:v>0</x:v>
      </x:c>
      <x:c r="D20" s="64" t="n">
        <x:v>0</x:v>
      </x:c>
      <x:c r="E20" s="50" t="n">
        <x:f>((('OPERATING PRO FORMA'!B25*(1+B20))/('PROJECT INPUTS'!B21+D20))-('DEVELOPMENT BUDGET'!E17*(1+C20)))/('DEVELOPMENT BUDGET'!E17*(1+C20))</x:f>
        <x:v>-0.5355024401514805</x:v>
      </x:c>
      <x:c r="F20" t="str">
        <x:f>IF(E20&gt;='PROJECT INPUTS'!B22,"PASS","FAIL")</x:f>
        <x:v>FAIL</x:v>
      </x:c>
    </x:row>
    <x:row r="21">
      <x:c r="A21" t="str">
        <x:v>Costs +10%</x:v>
      </x:c>
      <x:c r="B21" s="64" t="n">
        <x:v>0</x:v>
      </x:c>
      <x:c r="C21" s="64" t="n">
        <x:v>0.1</x:v>
      </x:c>
      <x:c r="D21" s="64" t="n">
        <x:v>0</x:v>
      </x:c>
      <x:c r="E21" s="50" t="n">
        <x:f>((('OPERATING PRO FORMA'!B25*(1+B21))/('PROJECT INPUTS'!B21+D21))-('DEVELOPMENT BUDGET'!E17*(1+C21)))/('DEVELOPMENT BUDGET'!E17*(1+C21))</x:f>
        <x:v>-0.5555047274176846</x:v>
      </x:c>
      <x:c r="F21" t="str">
        <x:f>IF(E21&gt;='PROJECT INPUTS'!B22,"PASS","FAIL")</x:f>
        <x:v>FAIL</x:v>
      </x:c>
    </x:row>
    <x:row r="22">
      <x:c r="A22" t="str">
        <x:v>Cap rate +0.50%</x:v>
      </x:c>
      <x:c r="B22" s="64" t="n">
        <x:v>0</x:v>
      </x:c>
      <x:c r="C22" s="64" t="n">
        <x:v>0</x:v>
      </x:c>
      <x:c r="D22" s="64" t="n">
        <x:v>0.005</x:v>
      </x:c>
      <x:c r="E22" s="50" t="n">
        <x:f>((('OPERATING PRO FORMA'!B25*(1+B22))/('PROJECT INPUTS'!B21+D22))-('DEVELOPMENT BUDGET'!E17*(1+C22)))/('DEVELOPMENT BUDGET'!E17*(1+C22))</x:f>
        <x:v>-0.5576213715728385</x:v>
      </x:c>
      <x:c r="F22" t="str">
        <x:f>IF(E22&gt;='PROJECT INPUTS'!B22,"PASS","FAIL")</x:f>
        <x:v>FAIL</x:v>
      </x:c>
    </x:row>
    <x:row r="23">
      <x:c r="A23" t="str">
        <x:v>Combined downside</x:v>
      </x:c>
      <x:c r="B23" s="64" t="n">
        <x:v>-0.05</x:v>
      </x:c>
      <x:c r="C23" s="64" t="n">
        <x:v>0.1</x:v>
      </x:c>
      <x:c r="D23" s="64" t="n">
        <x:v>0.005</x:v>
      </x:c>
      <x:c r="E23" s="50" t="n">
        <x:f>((('OPERATING PRO FORMA'!B25*(1+B23))/('PROJECT INPUTS'!B21+D23))-('DEVELOPMENT BUDGET'!E17*(1+C23)))/('DEVELOPMENT BUDGET'!E17*(1+C23))</x:f>
        <x:v>-0.6179457299947242</x:v>
      </x:c>
      <x:c r="F23" t="str">
        <x:f>IF(E23&gt;='PROJECT INPUTS'!B22,"PASS","FAIL")</x:f>
        <x:v>FAIL</x:v>
      </x:c>
    </x:row>
  </x:sheetData>
  <x:mergeCells>
    <x:mergeCell ref="A1:F1"/>
    <x:mergeCell ref="A3:F3"/>
    <x:mergeCell ref="A17:F1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5" t="str">
        <x:v>Residual Land Value – Maximum Price You Can Pay</x:v>
      </x:c>
    </x:row>
    <x:row r="3" ht="21" customHeight="1">
      <x:c r="A3" s="14" t="str">
        <x:v>Residual calculation</x:v>
      </x:c>
    </x:row>
    <x:row r="4">
      <x:c r="A4" t="str">
        <x:v>Stabilized value</x:v>
      </x:c>
      <x:c r="B4" s="52" t="n">
        <x:f>'OPERATING PRO FORMA'!B29</x:f>
        <x:v>4546210.52631579</x:v>
      </x:c>
    </x:row>
    <x:row r="5">
      <x:c r="A5" t="str">
        <x:v>Required developer profit % of cost</x:v>
      </x:c>
      <x:c r="B5" s="50" t="n">
        <x:f>'PROJECT INPUTS'!B22</x:f>
        <x:v>0.15</x:v>
      </x:c>
    </x:row>
    <x:row r="6">
      <x:c r="A6" t="str">
        <x:v>Maximum total development cost</x:v>
      </x:c>
      <x:c r="B6" s="52" t="n">
        <x:f>B4/(1+B5)</x:f>
        <x:v>3953226.544622426</x:v>
      </x:c>
    </x:row>
    <x:row r="7">
      <x:c r="A7" t="str">
        <x:v>Current total development cost</x:v>
      </x:c>
      <x:c r="B7" s="52" t="n">
        <x:f>'DEVELOPMENT BUDGET'!E17</x:f>
        <x:v>9298003.635171875</x:v>
      </x:c>
    </x:row>
    <x:row r="8">
      <x:c r="A8" t="str">
        <x:v>Current land cost</x:v>
      </x:c>
      <x:c r="B8" s="52" t="n">
        <x:f>'DEVELOPMENT BUDGET'!E4</x:f>
        <x:v>1350000</x:v>
      </x:c>
    </x:row>
    <x:row r="9">
      <x:c r="A9" t="str">
        <x:v>Non-land development cost</x:v>
      </x:c>
      <x:c r="B9" s="52" t="n">
        <x:f>B7-B8-'DEVELOPMENT BUDGET'!E5</x:f>
        <x:v>7914253.635171875</x:v>
      </x:c>
    </x:row>
    <x:row r="10">
      <x:c r="A10" t="str">
        <x:v>Residual maximum land all-in</x:v>
      </x:c>
      <x:c r="B10" s="52" t="n">
        <x:f>B6-B9</x:f>
        <x:v>-3961027.0905494494</x:v>
      </x:c>
    </x:row>
    <x:row r="11">
      <x:c r="A11" t="str">
        <x:v>Estimated land closing cost %</x:v>
      </x:c>
      <x:c r="B11" s="50" t="n">
        <x:f>'PROJECT INPUTS'!E15</x:f>
        <x:v>0.025</x:v>
      </x:c>
    </x:row>
    <x:row r="12">
      <x:c r="A12" t="str">
        <x:v>Maximum purchase price before closing costs</x:v>
      </x:c>
      <x:c r="B12" s="52" t="n">
        <x:f>B10/(1+B11)</x:f>
        <x:v>-3864416.67370678</x:v>
      </x:c>
    </x:row>
    <x:row r="13">
      <x:c r="A13" t="str">
        <x:v>Target safety discount</x:v>
      </x:c>
      <x:c r="B13" s="40" t="n">
        <x:v>0.1</x:v>
      </x:c>
    </x:row>
    <x:row r="14">
      <x:c r="A14" t="str">
        <x:v>Recommended maximum offer</x:v>
      </x:c>
      <x:c r="B14" s="52" t="n">
        <x:f>B12*(1-B13)</x:f>
        <x:v>-3477975.0063361023</x:v>
      </x:c>
    </x:row>
    <x:row r="15">
      <x:c r="A15" t="str">
        <x:v>Asking price variance</x:v>
      </x:c>
      <x:c r="B15" s="52" t="n">
        <x:f>'PROJECT INPUTS'!B6-B14</x:f>
        <x:v>5077975.006336102</x:v>
      </x:c>
    </x:row>
    <x:row r="17" ht="21" customHeight="1">
      <x:c r="A17" s="14" t="str">
        <x:v>Offer rule</x:v>
      </x:c>
    </x:row>
    <x:row r="18">
      <x:c r="A18" t="str">
        <x:v>Maximum offer decision</x:v>
      </x:c>
      <x:c r="B18" t="str">
        <x:f>IF('PROJECT INPUTS'!E6&lt;=B14,"CURRENT TARGET IS WITHIN LIMIT","TARGET OFFER IS TOO HIGH")</x:f>
        <x:v>TARGET OFFER IS TOO HIGH</x:v>
      </x:c>
    </x:row>
    <x:row r="19">
      <x:c r="A19" t="str">
        <x:v>Negotiation position</x:v>
      </x:c>
      <x:c r="B19" t="str">
        <x:f>IF(B15&gt;0,"Asking price exceeds recommended maximum by "&amp;TEXT(B15,"$#,##0"),"Asking price is within recommended maximum.")</x:f>
        <x:v>Asking price exceeds recommended maximum by $5,077,975</x:v>
      </x:c>
    </x:row>
    <x:row r="20">
      <x:c r="A20" t="str">
        <x:v>Condition removal rule</x:v>
      </x:c>
      <x:c r="B20" s="10" t="str">
        <x:v>Do not increase the offer above the professionally supported residual value unless a documented strategic benefit offsets the reduced return.</x:v>
      </x:c>
    </x:row>
  </x:sheetData>
  <x:mergeCells>
    <x:mergeCell ref="A1:F1"/>
    <x:mergeCell ref="A3:F3"/>
    <x:mergeCell ref="A17:F1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58" hidden="0" customWidth="1"/>
    <x:col min="4" max="4" width="24" hidden="0" customWidth="1"/>
    <x:col min="5" max="5" width="12" hidden="0" customWidth="1"/>
    <x:col min="6" max="6" width="14" hidden="0" customWidth="1"/>
    <x:col min="7" max="7" width="13" hidden="0" customWidth="1"/>
    <x:col min="8" max="8" width="42" hidden="0" customWidth="1"/>
    <x:col min="9" max="9" width="13" hidden="0" customWidth="1"/>
    <x:col min="10" max="10" width="14" hidden="0" customWidth="1"/>
    <x:col min="11" max="11" width="35" hidden="0" customWidth="1"/>
  </x:cols>
  <x:sheetData>
    <x:row r="1" ht="28" customHeight="1">
      <x:c r="A1" s="5" t="str">
        <x:v>Acquisition Due Diligence Tracker</x:v>
      </x:c>
    </x:row>
    <x:row r="3">
      <x:c r="A3" s="26" t="str">
        <x:v>Phase</x:v>
      </x:c>
      <x:c r="B3" s="26" t="str">
        <x:v>Category</x:v>
      </x:c>
      <x:c r="C3" s="26" t="str">
        <x:v>Task / Question</x:v>
      </x:c>
      <x:c r="D3" s="26" t="str">
        <x:v>Professional</x:v>
      </x:c>
      <x:c r="E3" s="26" t="str">
        <x:v>Priority</x:v>
      </x:c>
      <x:c r="F3" s="26" t="str">
        <x:v>Status</x:v>
      </x:c>
      <x:c r="G3" s="26" t="str">
        <x:v>Deadline</x:v>
      </x:c>
      <x:c r="H3" s="26" t="str">
        <x:v>Evidence / Deliverable</x:v>
      </x:c>
      <x:c r="I3" s="26" t="str">
        <x:v>Fatal if Failed?</x:v>
      </x:c>
      <x:c r="J3" s="26" t="str">
        <x:v>Cost Budget</x:v>
      </x:c>
      <x:c r="K3" s="26" t="str">
        <x:v>Notes</x:v>
      </x:c>
    </x:row>
    <x:row r="4">
      <x:c r="A4" t="str">
        <x:v>Pre-offer</x:v>
      </x:c>
      <x:c r="B4" t="str">
        <x:v>Seller package</x:v>
      </x:c>
      <x:c r="C4" t="str">
        <x:v>Obtain title, survey, leases, environmental reports, plans, permits and professional contacts</x:v>
      </x:c>
      <x:c r="D4" t="str">
        <x:v>Developer</x:v>
      </x:c>
      <x:c r="E4" s="32" t="str">
        <x:v>Critical</x:v>
      </x:c>
      <x:c r="F4" s="32" t="str">
        <x:v>Not Started</x:v>
      </x:c>
      <x:c r="G4" s="80" t="str"/>
      <x:c r="H4" t="str">
        <x:v>Complete document package</x:v>
      </x:c>
      <x:c r="I4" s="32" t="str">
        <x:v>No</x:v>
      </x:c>
      <x:c r="J4" s="82" t="n">
        <x:v>0</x:v>
      </x:c>
      <x:c r="K4" s="32" t="str"/>
    </x:row>
    <x:row r="5">
      <x:c r="A5" t="str">
        <x:v>Pre-offer</x:v>
      </x:c>
      <x:c r="B5" t="str">
        <x:v>Planning</x:v>
      </x:c>
      <x:c r="C5" t="str">
        <x:v>Desktop zoning and development-capacity review</x:v>
      </x:c>
      <x:c r="D5" t="str">
        <x:v>Architect</x:v>
      </x:c>
      <x:c r="E5" s="32" t="str">
        <x:v>Critical</x:v>
      </x:c>
      <x:c r="F5" s="32" t="str">
        <x:v>Not Started</x:v>
      </x:c>
      <x:c r="G5" s="80" t="str"/>
      <x:c r="H5" t="str">
        <x:v>Written memo / preliminary massing</x:v>
      </x:c>
      <x:c r="I5" s="32" t="str">
        <x:v>Yes</x:v>
      </x:c>
      <x:c r="J5" s="82" t="n">
        <x:v>3500</x:v>
      </x:c>
      <x:c r="K5" s="32" t="str"/>
    </x:row>
    <x:row r="6">
      <x:c r="A6" t="str">
        <x:v>Conditional period</x:v>
      </x:c>
      <x:c r="B6" t="str">
        <x:v>Municipal</x:v>
      </x:c>
      <x:c r="C6" t="str">
        <x:v>Written confirmation of permitted use, units, density, height, setbacks and approvals</x:v>
      </x:c>
      <x:c r="D6" t="str">
        <x:v>Architect / Urban Planner</x:v>
      </x:c>
      <x:c r="E6" s="32" t="str">
        <x:v>Critical</x:v>
      </x:c>
      <x:c r="F6" s="32" t="str">
        <x:v>Not Started</x:v>
      </x:c>
      <x:c r="G6" s="80" t="str"/>
      <x:c r="H6" t="str">
        <x:v>Written municipal evidence</x:v>
      </x:c>
      <x:c r="I6" s="32" t="str">
        <x:v>Yes</x:v>
      </x:c>
      <x:c r="J6" s="82" t="n">
        <x:v>5000</x:v>
      </x:c>
      <x:c r="K6" s="32" t="str"/>
    </x:row>
    <x:row r="7">
      <x:c r="A7" t="str">
        <x:v>Conditional period</x:v>
      </x:c>
      <x:c r="B7" t="str">
        <x:v>Survey / title</x:v>
      </x:c>
      <x:c r="C7" t="str">
        <x:v>Review boundaries, servitudes, encroachments and restrictions</x:v>
      </x:c>
      <x:c r="D7" t="str">
        <x:v>Surveyor + Lawyer</x:v>
      </x:c>
      <x:c r="E7" s="32" t="str">
        <x:v>Critical</x:v>
      </x:c>
      <x:c r="F7" s="32" t="str">
        <x:v>Not Started</x:v>
      </x:c>
      <x:c r="G7" s="80" t="str"/>
      <x:c r="H7" t="str">
        <x:v>Survey and title opinion</x:v>
      </x:c>
      <x:c r="I7" s="32" t="str">
        <x:v>Yes</x:v>
      </x:c>
      <x:c r="J7" s="82" t="n">
        <x:v>7000</x:v>
      </x:c>
      <x:c r="K7" s="32" t="str"/>
    </x:row>
    <x:row r="8">
      <x:c r="A8" t="str">
        <x:v>Conditional period</x:v>
      </x:c>
      <x:c r="B8" t="str">
        <x:v>Environmental</x:v>
      </x:c>
      <x:c r="C8" t="str">
        <x:v>Phase I ESA and Phase II if recommended</x:v>
      </x:c>
      <x:c r="D8" t="str">
        <x:v>Environmental Consultant</x:v>
      </x:c>
      <x:c r="E8" s="32" t="str">
        <x:v>Critical</x:v>
      </x:c>
      <x:c r="F8" s="32" t="str">
        <x:v>Not Started</x:v>
      </x:c>
      <x:c r="G8" s="80" t="str"/>
      <x:c r="H8" t="str">
        <x:v>Signed report</x:v>
      </x:c>
      <x:c r="I8" s="32" t="str">
        <x:v>Yes</x:v>
      </x:c>
      <x:c r="J8" s="82" t="n">
        <x:v>5000</x:v>
      </x:c>
      <x:c r="K8" s="32" t="str"/>
    </x:row>
    <x:row r="9">
      <x:c r="A9" t="str">
        <x:v>Conditional period</x:v>
      </x:c>
      <x:c r="B9" t="str">
        <x:v>Geotechnical</x:v>
      </x:c>
      <x:c r="C9" t="str">
        <x:v>Desktop assessment; boreholes if risk warrants</x:v>
      </x:c>
      <x:c r="D9" t="str">
        <x:v>Geotechnical Engineer</x:v>
      </x:c>
      <x:c r="E9" s="32" t="str">
        <x:v>High</x:v>
      </x:c>
      <x:c r="F9" s="32" t="str">
        <x:v>Not Started</x:v>
      </x:c>
      <x:c r="G9" s="80" t="str"/>
      <x:c r="H9" t="str">
        <x:v>Signed report</x:v>
      </x:c>
      <x:c r="I9" s="32" t="str">
        <x:v>Yes</x:v>
      </x:c>
      <x:c r="J9" s="82" t="n">
        <x:v>15000</x:v>
      </x:c>
      <x:c r="K9" s="32" t="str"/>
    </x:row>
    <x:row r="10">
      <x:c r="A10" t="str">
        <x:v>Conditional period</x:v>
      </x:c>
      <x:c r="B10" t="str">
        <x:v>Civil servicing</x:v>
      </x:c>
      <x:c r="C10" t="str">
        <x:v>Confirm water, sanitary, storm and utility capacity / connection cost</x:v>
      </x:c>
      <x:c r="D10" t="str">
        <x:v>Civil Engineer</x:v>
      </x:c>
      <x:c r="E10" s="32" t="str">
        <x:v>Critical</x:v>
      </x:c>
      <x:c r="F10" s="32" t="str">
        <x:v>Not Started</x:v>
      </x:c>
      <x:c r="G10" s="80" t="str"/>
      <x:c r="H10" t="str">
        <x:v>Servicing memo / city confirmation</x:v>
      </x:c>
      <x:c r="I10" s="32" t="str">
        <x:v>Yes</x:v>
      </x:c>
      <x:c r="J10" s="82" t="n">
        <x:v>10000</x:v>
      </x:c>
      <x:c r="K10" s="32" t="str"/>
    </x:row>
    <x:row r="11">
      <x:c r="A11" t="str">
        <x:v>Conditional period</x:v>
      </x:c>
      <x:c r="B11" t="str">
        <x:v>Concept design</x:v>
      </x:c>
      <x:c r="C11" t="str">
        <x:v>Prepare code-compliant massing, unit yield, parking and efficiency test</x:v>
      </x:c>
      <x:c r="D11" t="str">
        <x:v>Architect</x:v>
      </x:c>
      <x:c r="E11" s="32" t="str">
        <x:v>Critical</x:v>
      </x:c>
      <x:c r="F11" s="32" t="str">
        <x:v>Not Started</x:v>
      </x:c>
      <x:c r="G11" s="80" t="str"/>
      <x:c r="H11" t="str">
        <x:v>Concept plans and area schedule</x:v>
      </x:c>
      <x:c r="I11" s="32" t="str">
        <x:v>Yes</x:v>
      </x:c>
      <x:c r="J11" s="82" t="n">
        <x:v>12000</x:v>
      </x:c>
      <x:c r="K11" s="32" t="str"/>
    </x:row>
    <x:row r="12">
      <x:c r="A12" t="str">
        <x:v>Conditional period</x:v>
      </x:c>
      <x:c r="B12" t="str">
        <x:v>Construction budget</x:v>
      </x:c>
      <x:c r="C12" t="str">
        <x:v>GC validates site logistics, structure, schedule and Class C budget</x:v>
      </x:c>
      <x:c r="D12" t="str">
        <x:v>General Contractor</x:v>
      </x:c>
      <x:c r="E12" s="32" t="str">
        <x:v>Critical</x:v>
      </x:c>
      <x:c r="F12" s="32" t="str">
        <x:v>Not Started</x:v>
      </x:c>
      <x:c r="G12" s="80" t="str"/>
      <x:c r="H12" t="str">
        <x:v>Signed budget and exclusions</x:v>
      </x:c>
      <x:c r="I12" s="32" t="str">
        <x:v>Yes</x:v>
      </x:c>
      <x:c r="J12" s="82" t="n">
        <x:v>15000</x:v>
      </x:c>
      <x:c r="K12" s="32" t="str"/>
    </x:row>
    <x:row r="13">
      <x:c r="A13" t="str">
        <x:v>Conditional period</x:v>
      </x:c>
      <x:c r="B13" t="str">
        <x:v>Rental market</x:v>
      </x:c>
      <x:c r="C13" t="str">
        <x:v>Independent rent, vacancy and operating-expense analysis</x:v>
      </x:c>
      <x:c r="D13" t="str">
        <x:v>Appraiser / Property Manager</x:v>
      </x:c>
      <x:c r="E13" s="32" t="str">
        <x:v>Critical</x:v>
      </x:c>
      <x:c r="F13" s="32" t="str">
        <x:v>Not Started</x:v>
      </x:c>
      <x:c r="G13" s="80" t="str"/>
      <x:c r="H13" t="str">
        <x:v>Rent study / appraisal</x:v>
      </x:c>
      <x:c r="I13" s="32" t="str">
        <x:v>Yes</x:v>
      </x:c>
      <x:c r="J13" s="82" t="n">
        <x:v>7500</x:v>
      </x:c>
      <x:c r="K13" s="32" t="str"/>
    </x:row>
    <x:row r="14">
      <x:c r="A14" t="str">
        <x:v>Conditional period</x:v>
      </x:c>
      <x:c r="B14" t="str">
        <x:v>CMHC pre-screen</x:v>
      </x:c>
      <x:c r="C14" t="str">
        <x:v>Confirm borrower, affordability, scoring, loan sizing and experience path</x:v>
      </x:c>
      <x:c r="D14" t="str">
        <x:v>CMHC Lender</x:v>
      </x:c>
      <x:c r="E14" s="32" t="str">
        <x:v>Critical</x:v>
      </x:c>
      <x:c r="F14" s="32" t="str">
        <x:v>Not Started</x:v>
      </x:c>
      <x:c r="G14" s="80" t="str"/>
      <x:c r="H14" t="str">
        <x:v>Written pre-screen / term indication</x:v>
      </x:c>
      <x:c r="I14" s="32" t="str">
        <x:v>Yes</x:v>
      </x:c>
      <x:c r="J14" s="82" t="n">
        <x:v>0</x:v>
      </x:c>
      <x:c r="K14" s="32" t="str"/>
    </x:row>
    <x:row r="15">
      <x:c r="A15" t="str">
        <x:v>Conditional period</x:v>
      </x:c>
      <x:c r="B15" t="str">
        <x:v>Tax</x:v>
      </x:c>
      <x:c r="C15" t="str">
        <x:v>Review GST/QST, ITCs, land transfer, ownership and income-tax implications</x:v>
      </x:c>
      <x:c r="D15" t="str">
        <x:v>Tax Advisor</x:v>
      </x:c>
      <x:c r="E15" s="32" t="str">
        <x:v>High</x:v>
      </x:c>
      <x:c r="F15" s="32" t="str">
        <x:v>Not Started</x:v>
      </x:c>
      <x:c r="G15" s="80" t="str"/>
      <x:c r="H15" t="str">
        <x:v>Written tax memo</x:v>
      </x:c>
      <x:c r="I15" s="32" t="str">
        <x:v>No</x:v>
      </x:c>
      <x:c r="J15" s="82" t="n">
        <x:v>7500</x:v>
      </x:c>
      <x:c r="K15" s="32" t="str"/>
    </x:row>
    <x:row r="16">
      <x:c r="A16" t="str">
        <x:v>Conditional period</x:v>
      </x:c>
      <x:c r="B16" t="str">
        <x:v>Legal offer review</x:v>
      </x:c>
      <x:c r="C16" t="str">
        <x:v>Confirm conditions, extensions, access, assignment and termination protections</x:v>
      </x:c>
      <x:c r="D16" t="str">
        <x:v>Lawyer / Notary</x:v>
      </x:c>
      <x:c r="E16" s="32" t="str">
        <x:v>Critical</x:v>
      </x:c>
      <x:c r="F16" s="32" t="str">
        <x:v>Not Started</x:v>
      </x:c>
      <x:c r="G16" s="80" t="str"/>
      <x:c r="H16" t="str">
        <x:v>Legal advice and revised clauses</x:v>
      </x:c>
      <x:c r="I16" s="32" t="str">
        <x:v>Yes</x:v>
      </x:c>
      <x:c r="J16" s="82" t="n">
        <x:v>5000</x:v>
      </x:c>
      <x:c r="K16" s="32" t="str"/>
    </x:row>
    <x:row r="17">
      <x:c r="A17" t="str">
        <x:v>Post-acquisition</x:v>
      </x:c>
      <x:c r="B17" t="str">
        <x:v>Design development</x:v>
      </x:c>
      <x:c r="C17" t="str">
        <x:v>Coordinate architectural, structural, civil, mechanical, electrical and energy design</x:v>
      </x:c>
      <x:c r="D17" t="str">
        <x:v>Consultant Team</x:v>
      </x:c>
      <x:c r="E17" s="32" t="str">
        <x:v>High</x:v>
      </x:c>
      <x:c r="F17" s="32" t="str">
        <x:v>Not Started</x:v>
      </x:c>
      <x:c r="G17" s="80" t="str"/>
      <x:c r="H17" t="str">
        <x:v>Issued design packages</x:v>
      </x:c>
      <x:c r="I17" s="32" t="str">
        <x:v>No</x:v>
      </x:c>
      <x:c r="J17" s="82" t="n">
        <x:v>0</x:v>
      </x:c>
      <x:c r="K17" s="32" t="str"/>
    </x:row>
    <x:row r="18">
      <x:c r="A18" t="str">
        <x:v>Post-acquisition</x:v>
      </x:c>
      <x:c r="B18" t="str">
        <x:v>Approvals</x:v>
      </x:c>
      <x:c r="C18" t="str">
        <x:v>Submit planning, demolition, servicing and building-permit applications</x:v>
      </x:c>
      <x:c r="D18" t="str">
        <x:v>Architect</x:v>
      </x:c>
      <x:c r="E18" s="32" t="str">
        <x:v>Critical</x:v>
      </x:c>
      <x:c r="F18" s="32" t="str">
        <x:v>Not Started</x:v>
      </x:c>
      <x:c r="G18" s="80" t="str"/>
      <x:c r="H18" t="str">
        <x:v>Permit tracker</x:v>
      </x:c>
      <x:c r="I18" s="32" t="str">
        <x:v>No</x:v>
      </x:c>
      <x:c r="J18" s="82" t="n">
        <x:v>0</x:v>
      </x:c>
      <x:c r="K18" s="32" t="str"/>
    </x:row>
    <x:row r="19">
      <x:c r="A19" t="str">
        <x:v>Financing</x:v>
      </x:c>
      <x:c r="B19" t="str">
        <x:v>CMHC application</x:v>
      </x:c>
      <x:c r="C19" t="str">
        <x:v>Submit full application and lender underwriting package</x:v>
      </x:c>
      <x:c r="D19" t="str">
        <x:v>CMHC Lender</x:v>
      </x:c>
      <x:c r="E19" s="32" t="str">
        <x:v>Critical</x:v>
      </x:c>
      <x:c r="F19" s="32" t="str">
        <x:v>Not Started</x:v>
      </x:c>
      <x:c r="G19" s="80" t="str"/>
      <x:c r="H19" t="str">
        <x:v>Complete application</x:v>
      </x:c>
      <x:c r="I19" s="32" t="str">
        <x:v>Yes</x:v>
      </x:c>
      <x:c r="J19" s="82" t="n">
        <x:v>0</x:v>
      </x:c>
      <x:c r="K19" s="32" t="str"/>
    </x:row>
    <x:row r="20">
      <x:c r="A20" t="str">
        <x:v>Construction</x:v>
      </x:c>
      <x:c r="B20" t="str">
        <x:v>Contract</x:v>
      </x:c>
      <x:c r="C20" t="str">
        <x:v>Negotiate fixed-price or GMP contract, bonding, insurance, schedule and change controls</x:v>
      </x:c>
      <x:c r="D20" t="str">
        <x:v>Lawyer + GC</x:v>
      </x:c>
      <x:c r="E20" s="32" t="str">
        <x:v>Critical</x:v>
      </x:c>
      <x:c r="F20" s="32" t="str">
        <x:v>Not Started</x:v>
      </x:c>
      <x:c r="G20" s="80" t="str"/>
      <x:c r="H20" t="str">
        <x:v>Executed construction contract</x:v>
      </x:c>
      <x:c r="I20" s="32" t="str">
        <x:v>Yes</x:v>
      </x:c>
      <x:c r="J20" s="82" t="n">
        <x:v>0</x:v>
      </x:c>
      <x:c r="K20" s="32" t="str"/>
    </x:row>
    <x:row r="21">
      <x:c r="A21" t="str">
        <x:v>Construction</x:v>
      </x:c>
      <x:c r="B21" t="str">
        <x:v>Draw monitoring</x:v>
      </x:c>
      <x:c r="C21" t="str">
        <x:v>Monthly quantity surveyor reports, lien checks and lender draws</x:v>
      </x:c>
      <x:c r="D21" t="str">
        <x:v>Cost Consultant</x:v>
      </x:c>
      <x:c r="E21" s="32" t="str">
        <x:v>High</x:v>
      </x:c>
      <x:c r="F21" s="32" t="str">
        <x:v>Not Started</x:v>
      </x:c>
      <x:c r="G21" s="80" t="str"/>
      <x:c r="H21" t="str">
        <x:v>Monthly reports</x:v>
      </x:c>
      <x:c r="I21" s="32" t="str">
        <x:v>No</x:v>
      </x:c>
      <x:c r="J21" s="82" t="n">
        <x:v>0</x:v>
      </x:c>
      <x:c r="K21" s="32" t="str"/>
    </x:row>
    <x:row r="22">
      <x:c r="A22" t="str">
        <x:v>Lease-up</x:v>
      </x:c>
      <x:c r="B22" t="str">
        <x:v>Operations</x:v>
      </x:c>
      <x:c r="C22" t="str">
        <x:v>Marketing, leasing, screening and property-management handoff</x:v>
      </x:c>
      <x:c r="D22" t="str">
        <x:v>Property Manager</x:v>
      </x:c>
      <x:c r="E22" s="32" t="str">
        <x:v>High</x:v>
      </x:c>
      <x:c r="F22" s="32" t="str">
        <x:v>Not Started</x:v>
      </x:c>
      <x:c r="G22" s="80" t="str"/>
      <x:c r="H22" t="str">
        <x:v>Lease-up plan</x:v>
      </x:c>
      <x:c r="I22" s="32" t="str">
        <x:v>No</x:v>
      </x:c>
      <x:c r="J22" s="82" t="n">
        <x:v>0</x:v>
      </x:c>
      <x:c r="K22" s="32" t="str"/>
    </x:row>
    <x:row r="23">
      <x:c r="A23" t="str">
        <x:v>Stabilization</x:v>
      </x:c>
      <x:c r="B23" t="str">
        <x:v>Conversion</x:v>
      </x:c>
      <x:c r="C23" t="str">
        <x:v>Demonstrate 12 consecutive months of stabilized effective gross income</x:v>
      </x:c>
      <x:c r="D23" t="str">
        <x:v>Property Manager + Lender</x:v>
      </x:c>
      <x:c r="E23" s="32" t="str">
        <x:v>Critical</x:v>
      </x:c>
      <x:c r="F23" s="32" t="str">
        <x:v>Not Started</x:v>
      </x:c>
      <x:c r="G23" s="80" t="str"/>
      <x:c r="H23" t="str">
        <x:v>Stabilization evidence</x:v>
      </x:c>
      <x:c r="I23" s="32" t="str">
        <x:v>No</x:v>
      </x:c>
      <x:c r="J23" s="82" t="n">
        <x:v>0</x:v>
      </x:c>
      <x:c r="K23" s="32" t="str"/>
    </x:row>
    <x:row r="25" ht="21" customHeight="1">
      <x:c r="A25" s="14" t="str">
        <x:v>Due diligence summary</x:v>
      </x:c>
    </x:row>
    <x:row r="26">
      <x:c r="A26" t="str">
        <x:v>Open critical items</x:v>
      </x:c>
      <x:c r="B26" t="n">
        <x:f>COUNTIFS(E4:E23,"Critical",F4:F23,"&lt;&gt;Complete",F4:F23,"&lt;&gt;N/A")</x:f>
        <x:v>15</x:v>
      </x:c>
    </x:row>
    <x:row r="27">
      <x:c r="A27" t="str">
        <x:v>Issues</x:v>
      </x:c>
      <x:c r="B27" t="n">
        <x:f>COUNTIF(F4:F23,"Issue")</x:f>
        <x:v>0</x:v>
      </x:c>
    </x:row>
    <x:row r="28">
      <x:c r="A28" t="str">
        <x:v>Completed items</x:v>
      </x:c>
      <x:c r="B28" t="n">
        <x:f>COUNTIF(F4:F23,"Complete")</x:f>
        <x:v>0</x:v>
      </x:c>
    </x:row>
    <x:row r="29">
      <x:c r="A29" t="str">
        <x:v>Professional-fee budget</x:v>
      </x:c>
      <x:c r="B29" s="52" t="n">
        <x:f>SUM(J4:J23)</x:f>
        <x:v>92500</x:v>
      </x:c>
    </x:row>
    <x:row r="30">
      <x:c r="A30" t="str">
        <x:v>Condition removal decision</x:v>
      </x:c>
      <x:c r="B30" t="str">
        <x:f>IF(OR(B26&gt;0,B27&gt;0),"DO NOT WAIVE CONDITIONS","READY FOR FINAL PROFESSIONAL SIGN-OFF")</x:f>
        <x:v>DO NOT WAIVE CONDITIONS</x:v>
      </x:c>
    </x:row>
  </x:sheetData>
  <x:mergeCells>
    <x:mergeCell ref="A1:K1"/>
    <x:mergeCell ref="A25:K25"/>
  </x:mergeCells>
  <x:dataValidations count="3">
    <x:dataValidation type="list" sqref="E4:E23">
      <x:formula1>"Critical,High,Medium,Low"</x:formula1>
    </x:dataValidation>
    <x:dataValidation type="list" sqref="F4:F23">
      <x:formula1>"Not Started,In Progress,Waiting,Complete,Issue,N/A"</x:formula1>
    </x:dataValidation>
    <x:dataValidation type="list" sqref="I4:I23">
      <x:formula1>"Yes,No"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0" hidden="0" customWidth="1"/>
    <x:col min="3" max="3" width="13" hidden="0" customWidth="1"/>
    <x:col min="4" max="4" width="16" hidden="0" customWidth="1"/>
    <x:col min="5" max="5" width="14" hidden="0" customWidth="1"/>
    <x:col min="6" max="6" width="25" hidden="0" customWidth="1"/>
    <x:col min="7" max="7" width="24" hidden="0" customWidth="1"/>
    <x:col min="8" max="8" width="36" hidden="0" customWidth="1"/>
    <x:col min="9" max="9" width="14" hidden="0" customWidth="1"/>
    <x:col min="10" max="10" width="35" hidden="0" customWidth="1"/>
  </x:cols>
  <x:sheetData>
    <x:row r="1" ht="28" customHeight="1">
      <x:c r="A1" s="5" t="str">
        <x:v>Full Development Roadmap and Accountability Plan</x:v>
      </x:c>
    </x:row>
    <x:row r="3">
      <x:c r="A3" s="26" t="str">
        <x:v>Phase</x:v>
      </x:c>
      <x:c r="B3" s="26" t="str">
        <x:v>Milestone / Workstream</x:v>
      </x:c>
      <x:c r="C3" s="26" t="str">
        <x:v>Start Month</x:v>
      </x:c>
      <x:c r="D3" s="26" t="str">
        <x:v>Duration (Months)</x:v>
      </x:c>
      <x:c r="E3" s="26" t="str">
        <x:v>Finish Month</x:v>
      </x:c>
      <x:c r="F3" s="26" t="str">
        <x:v>Owner</x:v>
      </x:c>
      <x:c r="G3" s="26" t="str">
        <x:v>Dependency</x:v>
      </x:c>
      <x:c r="H3" s="26" t="str">
        <x:v>Gate / Deliverable</x:v>
      </x:c>
      <x:c r="I3" s="26" t="str">
        <x:v>Status</x:v>
      </x:c>
      <x:c r="J3" s="26" t="str">
        <x:v>Notes</x:v>
      </x:c>
    </x:row>
    <x:row r="4">
      <x:c r="A4" t="str">
        <x:v>1. Strategy</x:v>
      </x:c>
      <x:c r="B4" t="str">
        <x:v>Define return thresholds, project size and target market</x:v>
      </x:c>
      <x:c r="C4" s="32" t="n">
        <x:v>0</x:v>
      </x:c>
      <x:c r="D4" s="32" t="n">
        <x:v>1</x:v>
      </x:c>
      <x:c r="E4" t="n">
        <x:f>C4+D4</x:f>
        <x:v>1</x:v>
      </x:c>
      <x:c r="F4" t="str">
        <x:v>Developer</x:v>
      </x:c>
      <x:c r="G4" t="str"/>
      <x:c r="H4" t="str">
        <x:v>Approved acquisition criteria</x:v>
      </x:c>
      <x:c r="I4" s="32" t="str">
        <x:v>Complete</x:v>
      </x:c>
      <x:c r="J4" s="32" t="str"/>
    </x:row>
    <x:row r="5">
      <x:c r="A5" t="str">
        <x:v>2. Pipeline</x:v>
      </x:c>
      <x:c r="B5" t="str">
        <x:v>Source and screen 50–100 sites</x:v>
      </x:c>
      <x:c r="C5" s="32" t="n">
        <x:v>0</x:v>
      </x:c>
      <x:c r="D5" s="32" t="n">
        <x:v>6</x:v>
      </x:c>
      <x:c r="E5" t="n">
        <x:f>C5+D5</x:f>
        <x:v>6</x:v>
      </x:c>
      <x:c r="F5" t="str">
        <x:v>Developer / Broker</x:v>
      </x:c>
      <x:c r="G5" t="str">
        <x:v>Strategy</x:v>
      </x:c>
      <x:c r="H5" t="str">
        <x:v>Shortlist</x:v>
      </x:c>
      <x:c r="I5" s="32" t="str">
        <x:v>In Progress</x:v>
      </x:c>
      <x:c r="J5" s="32" t="str"/>
    </x:row>
    <x:row r="6">
      <x:c r="A6" t="str">
        <x:v>3. Pre-offer</x:v>
      </x:c>
      <x:c r="B6" t="str">
        <x:v>Desktop zoning, market and residual land analysis</x:v>
      </x:c>
      <x:c r="C6" s="32" t="n">
        <x:v>1</x:v>
      </x:c>
      <x:c r="D6" s="32" t="n">
        <x:v>1</x:v>
      </x:c>
      <x:c r="E6" t="n">
        <x:f>C6+D6</x:f>
        <x:v>2</x:v>
      </x:c>
      <x:c r="F6" t="str">
        <x:v>Developer / Architect</x:v>
      </x:c>
      <x:c r="G6" t="str">
        <x:v>Candidate site</x:v>
      </x:c>
      <x:c r="H6" t="str">
        <x:v>Offer recommendation</x:v>
      </x:c>
      <x:c r="I6" s="32" t="str">
        <x:v>Not Started</x:v>
      </x:c>
      <x:c r="J6" s="32" t="str"/>
    </x:row>
    <x:row r="7">
      <x:c r="A7" t="str">
        <x:v>4. Offer</x:v>
      </x:c>
      <x:c r="B7" t="str">
        <x:v>Negotiate conditional purchase agreement</x:v>
      </x:c>
      <x:c r="C7" s="32" t="n">
        <x:v>2</x:v>
      </x:c>
      <x:c r="D7" s="32" t="n">
        <x:v>1</x:v>
      </x:c>
      <x:c r="E7" t="n">
        <x:f>C7+D7</x:f>
        <x:v>3</x:v>
      </x:c>
      <x:c r="F7" t="str">
        <x:v>Developer / Lawyer</x:v>
      </x:c>
      <x:c r="G7" t="str">
        <x:v>Pre-offer</x:v>
      </x:c>
      <x:c r="H7" t="str">
        <x:v>Signed APS</x:v>
      </x:c>
      <x:c r="I7" s="32" t="str">
        <x:v>Not Started</x:v>
      </x:c>
      <x:c r="J7" s="32" t="str"/>
    </x:row>
    <x:row r="8">
      <x:c r="A8" t="str">
        <x:v>5. Due diligence</x:v>
      </x:c>
      <x:c r="B8" t="str">
        <x:v>Complete planning, title, environmental, servicing, concept, budget and market validation</x:v>
      </x:c>
      <x:c r="C8" s="32" t="n">
        <x:v>2</x:v>
      </x:c>
      <x:c r="D8" s="32" t="n">
        <x:v>2</x:v>
      </x:c>
      <x:c r="E8" t="n">
        <x:f>C8+D8</x:f>
        <x:v>4</x:v>
      </x:c>
      <x:c r="F8" t="str">
        <x:v>Consultant Team</x:v>
      </x:c>
      <x:c r="G8" t="str">
        <x:v>Signed APS</x:v>
      </x:c>
      <x:c r="H8" t="str">
        <x:v>Go / no-go report</x:v>
      </x:c>
      <x:c r="I8" s="32" t="str">
        <x:v>Not Started</x:v>
      </x:c>
      <x:c r="J8" s="32" t="str"/>
    </x:row>
    <x:row r="9">
      <x:c r="A9" t="str">
        <x:v>6. CMHC pre-screen</x:v>
      </x:c>
      <x:c r="B9" t="str">
        <x:v>Confirm scoring, borrower and loan pathway</x:v>
      </x:c>
      <x:c r="C9" s="32" t="n">
        <x:v>2</x:v>
      </x:c>
      <x:c r="D9" s="32" t="n">
        <x:v>2</x:v>
      </x:c>
      <x:c r="E9" t="n">
        <x:f>C9+D9</x:f>
        <x:v>4</x:v>
      </x:c>
      <x:c r="F9" t="str">
        <x:v>CMHC Lender</x:v>
      </x:c>
      <x:c r="G9" t="str">
        <x:v>Concept + budget</x:v>
      </x:c>
      <x:c r="H9" t="str">
        <x:v>Written pre-screen</x:v>
      </x:c>
      <x:c r="I9" s="32" t="str">
        <x:v>Not Started</x:v>
      </x:c>
      <x:c r="J9" s="32" t="str"/>
    </x:row>
    <x:row r="10">
      <x:c r="A10" t="str">
        <x:v>7. Acquisition close</x:v>
      </x:c>
      <x:c r="B10" t="str">
        <x:v>Close only after approvals and financing path are credible</x:v>
      </x:c>
      <x:c r="C10" s="32" t="n">
        <x:v>4</x:v>
      </x:c>
      <x:c r="D10" s="32" t="n">
        <x:v>1</x:v>
      </x:c>
      <x:c r="E10" t="n">
        <x:f>C10+D10</x:f>
        <x:v>5</x:v>
      </x:c>
      <x:c r="F10" t="str">
        <x:v>Developer / Notary</x:v>
      </x:c>
      <x:c r="G10" t="str">
        <x:v>Conditions waived</x:v>
      </x:c>
      <x:c r="H10" t="str">
        <x:v>Land acquired</x:v>
      </x:c>
      <x:c r="I10" s="32" t="str">
        <x:v>Not Started</x:v>
      </x:c>
      <x:c r="J10" s="32" t="str"/>
    </x:row>
    <x:row r="11">
      <x:c r="A11" t="str">
        <x:v>8. Design development</x:v>
      </x:c>
      <x:c r="B11" t="str">
        <x:v>Complete coordinated design and energy model</x:v>
      </x:c>
      <x:c r="C11" s="32" t="n">
        <x:v>4</x:v>
      </x:c>
      <x:c r="D11" s="32" t="n">
        <x:v>5</x:v>
      </x:c>
      <x:c r="E11" t="n">
        <x:f>C11+D11</x:f>
        <x:v>9</x:v>
      </x:c>
      <x:c r="F11" t="str">
        <x:v>Architect</x:v>
      </x:c>
      <x:c r="G11" t="str">
        <x:v>Acquisition / access</x:v>
      </x:c>
      <x:c r="H11" t="str">
        <x:v>Permit drawings</x:v>
      </x:c>
      <x:c r="I11" s="32" t="str">
        <x:v>Not Started</x:v>
      </x:c>
      <x:c r="J11" s="32" t="str"/>
    </x:row>
    <x:row r="12">
      <x:c r="A12" t="str">
        <x:v>9. Approvals</x:v>
      </x:c>
      <x:c r="B12" t="str">
        <x:v>Planning, servicing, demolition and building permit</x:v>
      </x:c>
      <x:c r="C12" s="32" t="n">
        <x:v>5</x:v>
      </x:c>
      <x:c r="D12" s="32" t="n">
        <x:v>8</x:v>
      </x:c>
      <x:c r="E12" t="n">
        <x:f>C12+D12</x:f>
        <x:v>13</x:v>
      </x:c>
      <x:c r="F12" t="str">
        <x:v>Architect / City</x:v>
      </x:c>
      <x:c r="G12" t="str">
        <x:v>Design</x:v>
      </x:c>
      <x:c r="H12" t="str">
        <x:v>Permits</x:v>
      </x:c>
      <x:c r="I12" s="32" t="str">
        <x:v>Not Started</x:v>
      </x:c>
      <x:c r="J12" s="32" t="str"/>
    </x:row>
    <x:row r="13">
      <x:c r="A13" t="str">
        <x:v>10. CMHC application</x:v>
      </x:c>
      <x:c r="B13" t="str">
        <x:v>Submit full lender and CMHC package</x:v>
      </x:c>
      <x:c r="C13" s="32" t="n">
        <x:v>7</x:v>
      </x:c>
      <x:c r="D13" s="32" t="n">
        <x:v>5</x:v>
      </x:c>
      <x:c r="E13" t="n">
        <x:f>C13+D13</x:f>
        <x:v>12</x:v>
      </x:c>
      <x:c r="F13" t="str">
        <x:v>CMHC Lender</x:v>
      </x:c>
      <x:c r="G13" t="str">
        <x:v>Advanced design + reports</x:v>
      </x:c>
      <x:c r="H13" t="str">
        <x:v>Executed loan agreement</x:v>
      </x:c>
      <x:c r="I13" s="32" t="str">
        <x:v>Not Started</x:v>
      </x:c>
      <x:c r="J13" s="32" t="str"/>
    </x:row>
    <x:row r="14">
      <x:c r="A14" t="str">
        <x:v>11. Construction contract</x:v>
      </x:c>
      <x:c r="B14" t="str">
        <x:v>Finalize fixed-price / GMP, bonding and insurance</x:v>
      </x:c>
      <x:c r="C14" s="32" t="n">
        <x:v>10</x:v>
      </x:c>
      <x:c r="D14" s="32" t="n">
        <x:v>2</x:v>
      </x:c>
      <x:c r="E14" t="n">
        <x:f>C14+D14</x:f>
        <x:v>12</x:v>
      </x:c>
      <x:c r="F14" t="str">
        <x:v>Developer / GC / Lawyer</x:v>
      </x:c>
      <x:c r="G14" t="str">
        <x:v>Pricing drawings</x:v>
      </x:c>
      <x:c r="H14" t="str">
        <x:v>Executed contract</x:v>
      </x:c>
      <x:c r="I14" s="32" t="str">
        <x:v>Not Started</x:v>
      </x:c>
      <x:c r="J14" s="32" t="str"/>
    </x:row>
    <x:row r="15">
      <x:c r="A15" t="str">
        <x:v>12. Construction</x:v>
      </x:c>
      <x:c r="B15" t="str">
        <x:v>Site work through occupancy permit</x:v>
      </x:c>
      <x:c r="C15" s="32" t="n">
        <x:v>12</x:v>
      </x:c>
      <x:c r="D15" s="32" t="n">
        <x:v>18</x:v>
      </x:c>
      <x:c r="E15" t="n">
        <x:f>C15+D15</x:f>
        <x:v>30</x:v>
      </x:c>
      <x:c r="F15" t="str">
        <x:v>GC</x:v>
      </x:c>
      <x:c r="G15" t="str">
        <x:v>Permits + financing</x:v>
      </x:c>
      <x:c r="H15" t="str">
        <x:v>Occupancy permit</x:v>
      </x:c>
      <x:c r="I15" s="32" t="str">
        <x:v>Not Started</x:v>
      </x:c>
      <x:c r="J15" s="32" t="str"/>
    </x:row>
    <x:row r="16">
      <x:c r="A16" t="str">
        <x:v>13. Lease-up</x:v>
      </x:c>
      <x:c r="B16" t="str">
        <x:v>Pre-leasing and occupancy</x:v>
      </x:c>
      <x:c r="C16" s="32" t="n">
        <x:v>26</x:v>
      </x:c>
      <x:c r="D16" s="32" t="n">
        <x:v>9</x:v>
      </x:c>
      <x:c r="E16" t="n">
        <x:f>C16+D16</x:f>
        <x:v>35</x:v>
      </x:c>
      <x:c r="F16" t="str">
        <x:v>Property Manager</x:v>
      </x:c>
      <x:c r="G16" t="str">
        <x:v>Construction progress</x:v>
      </x:c>
      <x:c r="H16" t="str">
        <x:v>Target occupancy</x:v>
      </x:c>
      <x:c r="I16" s="32" t="str">
        <x:v>Not Started</x:v>
      </x:c>
      <x:c r="J16" s="32" t="str"/>
    </x:row>
    <x:row r="17">
      <x:c r="A17" t="str">
        <x:v>14. Stabilization</x:v>
      </x:c>
      <x:c r="B17" t="str">
        <x:v>Achieve 12 consecutive months stabilized EGI</x:v>
      </x:c>
      <x:c r="C17" s="32" t="n">
        <x:v>35</x:v>
      </x:c>
      <x:c r="D17" s="32" t="n">
        <x:v>12</x:v>
      </x:c>
      <x:c r="E17" t="n">
        <x:f>C17+D17</x:f>
        <x:v>47</x:v>
      </x:c>
      <x:c r="F17" t="str">
        <x:v>Property Manager</x:v>
      </x:c>
      <x:c r="G17" t="str">
        <x:v>Lease-up</x:v>
      </x:c>
      <x:c r="H17" t="str">
        <x:v>Stabilization confirmation</x:v>
      </x:c>
      <x:c r="I17" s="32" t="str">
        <x:v>Not Started</x:v>
      </x:c>
      <x:c r="J17" s="32" t="str"/>
    </x:row>
    <x:row r="18">
      <x:c r="A18" t="str">
        <x:v>15. Permanent operations</x:v>
      </x:c>
      <x:c r="B18" t="str">
        <x:v>Transition to long-term reporting and asset management</x:v>
      </x:c>
      <x:c r="C18" s="32" t="n">
        <x:v>47</x:v>
      </x:c>
      <x:c r="D18" s="32" t="n">
        <x:v>1</x:v>
      </x:c>
      <x:c r="E18" t="n">
        <x:f>C18+D18</x:f>
        <x:v>48</x:v>
      </x:c>
      <x:c r="F18" t="str">
        <x:v>Asset Manager</x:v>
      </x:c>
      <x:c r="G18" t="str">
        <x:v>Stabilization</x:v>
      </x:c>
      <x:c r="H18" t="str">
        <x:v>Operating plan</x:v>
      </x:c>
      <x:c r="I18" s="32" t="str">
        <x:v>Not Started</x:v>
      </x:c>
      <x:c r="J18" s="32" t="str"/>
    </x:row>
  </x:sheetData>
  <x:mergeCells>
    <x:mergeCell ref="A1:J1"/>
  </x:mergeCells>
  <x:dataValidations count="1">
    <x:dataValidation type="list" sqref="I4:I18">
      <x:formula1>"Not Started,In Progress,Waiting,Complete,Issue"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50" hidden="0" customWidth="1"/>
    <x:col min="4" max="4" width="38" hidden="0" customWidth="1"/>
    <x:col min="5" max="5" width="35" hidden="0" customWidth="1"/>
    <x:col min="6" max="6" width="38" hidden="0" customWidth="1"/>
    <x:col min="7" max="7" width="25" hidden="0" customWidth="1"/>
    <x:col min="8" max="8" width="16" hidden="0" customWidth="1"/>
  </x:cols>
  <x:sheetData>
    <x:row r="1" ht="28" customHeight="1">
      <x:c r="A1" s="5" t="str">
        <x:v>Professional Team, Scope and Engagement Sequence</x:v>
      </x:c>
    </x:row>
    <x:row r="3">
      <x:c r="A3" s="26" t="str">
        <x:v>Professional</x:v>
      </x:c>
      <x:c r="B3" s="26" t="str">
        <x:v>When to engage</x:v>
      </x:c>
      <x:c r="C3" s="26" t="str">
        <x:v>Core mandate</x:v>
      </x:c>
      <x:c r="D3" s="26" t="str">
        <x:v>Required experience</x:v>
      </x:c>
      <x:c r="E3" s="26" t="str">
        <x:v>Commercial structure</x:v>
      </x:c>
      <x:c r="F3" s="26" t="str">
        <x:v>Key deliverable</x:v>
      </x:c>
      <x:c r="G3" s="26" t="str">
        <x:v>Selected firm / person</x:v>
      </x:c>
      <x:c r="H3" s="26" t="str">
        <x:v>Status</x:v>
      </x:c>
    </x:row>
    <x:row r="4">
      <x:c r="A4" t="str">
        <x:v>CMHC-experienced lender</x:v>
      </x:c>
      <x:c r="B4" t="str">
        <x:v>Before serious offer</x:v>
      </x:c>
      <x:c r="C4" t="str">
        <x:v>Program pre-screen, loan sizing, documentation and application management</x:v>
      </x:c>
      <x:c r="D4" t="str">
        <x:v>Recent ACLP closings of similar size</x:v>
      </x:c>
      <x:c r="E4" t="str">
        <x:v>Fee structure confirmed in writing</x:v>
      </x:c>
      <x:c r="F4" t="str">
        <x:v>Written pre-screen and application plan</x:v>
      </x:c>
      <x:c r="G4" s="32" t="str"/>
      <x:c r="H4" s="32" t="str">
        <x:v>Not Started</x:v>
      </x:c>
    </x:row>
    <x:row r="5">
      <x:c r="A5" t="str">
        <x:v>Architect / urban planner</x:v>
      </x:c>
      <x:c r="B5" t="str">
        <x:v>Before offer</x:v>
      </x:c>
      <x:c r="C5" t="str">
        <x:v>Zoning, massing, unit yield, code and municipal process</x:v>
      </x:c>
      <x:c r="D5" t="str">
        <x:v>Small multifamily in target municipality</x:v>
      </x:c>
      <x:c r="E5" t="str">
        <x:v>Capped pre-offer mandate then full services</x:v>
      </x:c>
      <x:c r="F5" t="str">
        <x:v>Written planning memo and concept</x:v>
      </x:c>
      <x:c r="G5" s="32" t="str"/>
      <x:c r="H5" s="32" t="str">
        <x:v>Not Started</x:v>
      </x:c>
    </x:row>
    <x:row r="6">
      <x:c r="A6" t="str">
        <x:v>General contractor</x:v>
      </x:c>
      <x:c r="B6" t="str">
        <x:v>During conditional period</x:v>
      </x:c>
      <x:c r="C6" t="str">
        <x:v>Constructability, schedule, risk and Class C / fixed-price budget</x:v>
      </x:c>
      <x:c r="D6" t="str">
        <x:v>Similar size, form and local market</x:v>
      </x:c>
      <x:c r="E6" t="str">
        <x:v>Preconstruction fee credited to contract if possible</x:v>
      </x:c>
      <x:c r="F6" t="str">
        <x:v>Signed budget and exclusions</x:v>
      </x:c>
      <x:c r="G6" s="32" t="str"/>
      <x:c r="H6" s="32" t="str">
        <x:v>Not Started</x:v>
      </x:c>
    </x:row>
    <x:row r="7">
      <x:c r="A7" t="str">
        <x:v>Property manager</x:v>
      </x:c>
      <x:c r="B7" t="str">
        <x:v>During underwriting</x:v>
      </x:c>
      <x:c r="C7" t="str">
        <x:v>Rents, expenses, unit mix, lease-up and long-term operations</x:v>
      </x:c>
      <x:c r="D7" t="str">
        <x:v>5+ years similar property</x:v>
      </x:c>
      <x:c r="E7" t="str">
        <x:v>5-year agreement may support experience requirement</x:v>
      </x:c>
      <x:c r="F7" t="str">
        <x:v>Rent study and management proposal</x:v>
      </x:c>
      <x:c r="G7" s="32" t="str"/>
      <x:c r="H7" s="32" t="str">
        <x:v>Not Started</x:v>
      </x:c>
    </x:row>
    <x:row r="8">
      <x:c r="A8" t="str">
        <x:v>Environmental consultant</x:v>
      </x:c>
      <x:c r="B8" t="str">
        <x:v>After conditional offer</x:v>
      </x:c>
      <x:c r="C8" t="str">
        <x:v>Phase I and Phase II if required</x:v>
      </x:c>
      <x:c r="D8" t="str">
        <x:v>Lender-acceptable reports</x:v>
      </x:c>
      <x:c r="E8" t="str">
        <x:v>Fixed fee</x:v>
      </x:c>
      <x:c r="F8" t="str">
        <x:v>Signed ESA report</x:v>
      </x:c>
      <x:c r="G8" s="32" t="str"/>
      <x:c r="H8" s="32" t="str">
        <x:v>Not Started</x:v>
      </x:c>
    </x:row>
    <x:row r="9">
      <x:c r="A9" t="str">
        <x:v>Civil engineer</x:v>
      </x:c>
      <x:c r="B9" t="str">
        <x:v>During conditional period</x:v>
      </x:c>
      <x:c r="C9" t="str">
        <x:v>Servicing capacity, stormwater, grading and connection costs</x:v>
      </x:c>
      <x:c r="D9" t="str">
        <x:v>Local municipal experience</x:v>
      </x:c>
      <x:c r="E9" t="str">
        <x:v>Fixed preliminary scope</x:v>
      </x:c>
      <x:c r="F9" t="str">
        <x:v>Servicing memo</x:v>
      </x:c>
      <x:c r="G9" s="32" t="str"/>
      <x:c r="H9" s="32" t="str">
        <x:v>Not Started</x:v>
      </x:c>
    </x:row>
    <x:row r="10">
      <x:c r="A10" t="str">
        <x:v>Geotechnical engineer</x:v>
      </x:c>
      <x:c r="B10" t="str">
        <x:v>Risk-based during DD</x:v>
      </x:c>
      <x:c r="C10" t="str">
        <x:v>Foundation, groundwater and soil recommendations</x:v>
      </x:c>
      <x:c r="D10" t="str">
        <x:v>Similar local soil conditions</x:v>
      </x:c>
      <x:c r="E10" t="str">
        <x:v>Fixed investigation scope</x:v>
      </x:c>
      <x:c r="F10" t="str">
        <x:v>Signed geotechnical report</x:v>
      </x:c>
      <x:c r="G10" s="32" t="str"/>
      <x:c r="H10" s="32" t="str">
        <x:v>Not Started</x:v>
      </x:c>
    </x:row>
    <x:row r="11">
      <x:c r="A11" t="str">
        <x:v>Surveyor</x:v>
      </x:c>
      <x:c r="B11" t="str">
        <x:v>During DD / design</x:v>
      </x:c>
      <x:c r="C11" t="str">
        <x:v>Boundary, topography, servitudes and legal plans</x:v>
      </x:c>
      <x:c r="D11" t="str">
        <x:v>Local cadastral experience</x:v>
      </x:c>
      <x:c r="E11" t="str">
        <x:v>Fixed fee</x:v>
      </x:c>
      <x:c r="F11" t="str">
        <x:v>Survey / certificate / topo</x:v>
      </x:c>
      <x:c r="G11" s="32" t="str"/>
      <x:c r="H11" s="32" t="str">
        <x:v>Not Started</x:v>
      </x:c>
    </x:row>
    <x:row r="12">
      <x:c r="A12" t="str">
        <x:v>Lawyer / notary</x:v>
      </x:c>
      <x:c r="B12" t="str">
        <x:v>Before offer and closing</x:v>
      </x:c>
      <x:c r="C12" t="str">
        <x:v>APS, title, security, construction and consultant contracts</x:v>
      </x:c>
      <x:c r="D12" t="str">
        <x:v>Development and construction</x:v>
      </x:c>
      <x:c r="E12" t="str">
        <x:v>Hourly with phase caps</x:v>
      </x:c>
      <x:c r="F12" t="str">
        <x:v>Legal opinions / executed documents</x:v>
      </x:c>
      <x:c r="G12" s="32" t="str"/>
      <x:c r="H12" s="32" t="str">
        <x:v>Not Started</x:v>
      </x:c>
    </x:row>
    <x:row r="13">
      <x:c r="A13" t="str">
        <x:v>Tax accountant</x:v>
      </x:c>
      <x:c r="B13" t="str">
        <x:v>During DD</x:v>
      </x:c>
      <x:c r="C13" t="str">
        <x:v>GST/QST, ownership, ITCs and tax structuring</x:v>
      </x:c>
      <x:c r="D13" t="str">
        <x:v>Rental development in Québec</x:v>
      </x:c>
      <x:c r="E13" t="str">
        <x:v>Written memo fee</x:v>
      </x:c>
      <x:c r="F13" t="str">
        <x:v>Tax memo</x:v>
      </x:c>
      <x:c r="G13" s="32" t="str"/>
      <x:c r="H13" s="32" t="str">
        <x:v>Not Started</x:v>
      </x:c>
    </x:row>
    <x:row r="14">
      <x:c r="A14" t="str">
        <x:v>Quantity surveyor</x:v>
      </x:c>
      <x:c r="B14" t="str">
        <x:v>Before financing and construction</x:v>
      </x:c>
      <x:c r="C14" t="str">
        <x:v>Independent cost report and monthly draw monitoring</x:v>
      </x:c>
      <x:c r="D14" t="str">
        <x:v>Lender-approved</x:v>
      </x:c>
      <x:c r="E14" t="str">
        <x:v>Fixed reports + monthly fee</x:v>
      </x:c>
      <x:c r="F14" t="str">
        <x:v>Cost report / draw certificates</x:v>
      </x:c>
      <x:c r="G14" s="32" t="str"/>
      <x:c r="H14" s="32" t="str">
        <x:v>Not Started</x:v>
      </x:c>
    </x:row>
    <x:row r="15">
      <x:c r="A15" t="str">
        <x:v>Appraiser / market consultant</x:v>
      </x:c>
      <x:c r="B15" t="str">
        <x:v>During DD / CMHC</x:v>
      </x:c>
      <x:c r="C15" t="str">
        <x:v>Market rents, vacancy, value and housing need</x:v>
      </x:c>
      <x:c r="D15" t="str">
        <x:v>CMHC / lender accepted</x:v>
      </x:c>
      <x:c r="E15" t="str">
        <x:v>Fixed fee</x:v>
      </x:c>
      <x:c r="F15" t="str">
        <x:v>Appraisal / market report</x:v>
      </x:c>
      <x:c r="G15" s="32" t="str"/>
      <x:c r="H15" s="32" t="str">
        <x:v>Not Started</x:v>
      </x:c>
    </x:row>
    <x:row r="16">
      <x:c r="A16" t="str">
        <x:v>Insurance broker</x:v>
      </x:c>
      <x:c r="B16" t="str">
        <x:v>Before construction</x:v>
      </x:c>
      <x:c r="C16" t="str">
        <x:v>Builder's risk, wrap-up, liability and operations</x:v>
      </x:c>
      <x:c r="D16" t="str">
        <x:v>Construction and multifamily</x:v>
      </x:c>
      <x:c r="E16" t="str">
        <x:v>Commission / fee disclosure</x:v>
      </x:c>
      <x:c r="F16" t="str">
        <x:v>Coverage binder</x:v>
      </x:c>
      <x:c r="G16" s="32" t="str"/>
      <x:c r="H16" s="32" t="str">
        <x:v>Not Started</x:v>
      </x:c>
    </x:row>
  </x:sheetData>
  <x:mergeCells>
    <x:mergeCell ref="A1:H1"/>
  </x:mergeCells>
  <x:dataValidations count="1">
    <x:dataValidation type="list" sqref="H4:H16">
      <x:formula1>"Not Started,Contacted,Proposal Received,Engaged,Complete,Issue"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25" hidden="0" customWidth="1"/>
    <x:col min="4" max="4" width="24" hidden="0" customWidth="1"/>
    <x:col min="5" max="5" width="15" hidden="0" customWidth="1"/>
    <x:col min="6" max="6" width="14" hidden="0" customWidth="1"/>
    <x:col min="7" max="7" width="40" hidden="0" customWidth="1"/>
    <x:col min="8" max="8" width="35" hidden="0" customWidth="1"/>
  </x:cols>
  <x:sheetData>
    <x:row r="1" ht="28" customHeight="1">
      <x:c r="A1" s="5" t="str">
        <x:v>CMHC / Lender / Development Document Checklist</x:v>
      </x:c>
    </x:row>
    <x:row r="3">
      <x:c r="A3" s="26" t="str">
        <x:v>Category</x:v>
      </x:c>
      <x:c r="B3" s="26" t="str">
        <x:v>Document</x:v>
      </x:c>
      <x:c r="C3" s="26" t="str">
        <x:v>Stage Needed</x:v>
      </x:c>
      <x:c r="D3" s="26" t="str">
        <x:v>Responsible</x:v>
      </x:c>
      <x:c r="E3" s="26" t="str">
        <x:v>Status</x:v>
      </x:c>
      <x:c r="F3" s="26" t="str">
        <x:v>Date Received</x:v>
      </x:c>
      <x:c r="G3" s="26" t="str">
        <x:v>File Location / Link</x:v>
      </x:c>
      <x:c r="H3" s="26" t="str">
        <x:v>Comments</x:v>
      </x:c>
    </x:row>
    <x:row r="4">
      <x:c r="A4" t="str">
        <x:v>Borrower</x:v>
      </x:c>
      <x:c r="B4" t="str">
        <x:v>Corporate structure, ownership and organizational chart</x:v>
      </x:c>
      <x:c r="C4" t="str">
        <x:v>Pre-screen</x:v>
      </x:c>
      <x:c r="D4" t="str">
        <x:v>Developer</x:v>
      </x:c>
      <x:c r="E4" s="32" t="str">
        <x:v>Not Started</x:v>
      </x:c>
      <x:c r="F4" s="80" t="str"/>
      <x:c r="G4" s="32" t="str"/>
      <x:c r="H4" s="32" t="str"/>
    </x:row>
    <x:row r="5">
      <x:c r="A5" t="str">
        <x:v>Borrower</x:v>
      </x:c>
      <x:c r="B5" t="str">
        <x:v>Financial statements and tax returns</x:v>
      </x:c>
      <x:c r="C5" t="str">
        <x:v>Pre-screen / application</x:v>
      </x:c>
      <x:c r="D5" t="str">
        <x:v>Accountant</x:v>
      </x:c>
      <x:c r="E5" s="32" t="str">
        <x:v>Not Started</x:v>
      </x:c>
      <x:c r="F5" s="80" t="str"/>
      <x:c r="G5" s="32" t="str"/>
      <x:c r="H5" s="32" t="str"/>
    </x:row>
    <x:row r="6">
      <x:c r="A6" t="str">
        <x:v>Borrower</x:v>
      </x:c>
      <x:c r="B6" t="str">
        <x:v>Net worth statement and liquidity evidence</x:v>
      </x:c>
      <x:c r="C6" t="str">
        <x:v>Pre-screen / application</x:v>
      </x:c>
      <x:c r="D6" t="str">
        <x:v>Developer</x:v>
      </x:c>
      <x:c r="E6" s="32" t="str">
        <x:v>Not Started</x:v>
      </x:c>
      <x:c r="F6" s="80" t="str"/>
      <x:c r="G6" s="32" t="str"/>
      <x:c r="H6" s="32" t="str"/>
    </x:row>
    <x:row r="7">
      <x:c r="A7" t="str">
        <x:v>Borrower</x:v>
      </x:c>
      <x:c r="B7" t="str">
        <x:v>Development and management experience resumes</x:v>
      </x:c>
      <x:c r="C7" t="str">
        <x:v>Pre-screen</x:v>
      </x:c>
      <x:c r="D7" t="str">
        <x:v>Developer</x:v>
      </x:c>
      <x:c r="E7" s="32" t="str">
        <x:v>Not Started</x:v>
      </x:c>
      <x:c r="F7" s="80" t="str"/>
      <x:c r="G7" s="32" t="str"/>
      <x:c r="H7" s="32" t="str"/>
    </x:row>
    <x:row r="8">
      <x:c r="A8" t="str">
        <x:v>Property</x:v>
      </x:c>
      <x:c r="B8" t="str">
        <x:v>Executed purchase agreement and amendments</x:v>
      </x:c>
      <x:c r="C8" t="str">
        <x:v>Application</x:v>
      </x:c>
      <x:c r="D8" t="str">
        <x:v>Lawyer</x:v>
      </x:c>
      <x:c r="E8" s="32" t="str">
        <x:v>Not Started</x:v>
      </x:c>
      <x:c r="F8" s="80" t="str"/>
      <x:c r="G8" s="32" t="str"/>
      <x:c r="H8" s="32" t="str"/>
    </x:row>
    <x:row r="9">
      <x:c r="A9" t="str">
        <x:v>Property</x:v>
      </x:c>
      <x:c r="B9" t="str">
        <x:v>Title search, survey and legal description</x:v>
      </x:c>
      <x:c r="C9" t="str">
        <x:v>Due diligence</x:v>
      </x:c>
      <x:c r="D9" t="str">
        <x:v>Lawyer / Surveyor</x:v>
      </x:c>
      <x:c r="E9" s="32" t="str">
        <x:v>Not Started</x:v>
      </x:c>
      <x:c r="F9" s="80" t="str"/>
      <x:c r="G9" s="32" t="str"/>
      <x:c r="H9" s="32" t="str"/>
    </x:row>
    <x:row r="10">
      <x:c r="A10" t="str">
        <x:v>Planning</x:v>
      </x:c>
      <x:c r="B10" t="str">
        <x:v>Zoning confirmation and planning approvals</x:v>
      </x:c>
      <x:c r="C10" t="str">
        <x:v>Application</x:v>
      </x:c>
      <x:c r="D10" t="str">
        <x:v>Architect</x:v>
      </x:c>
      <x:c r="E10" s="32" t="str">
        <x:v>Not Started</x:v>
      </x:c>
      <x:c r="F10" s="80" t="str"/>
      <x:c r="G10" s="32" t="str"/>
      <x:c r="H10" s="32" t="str"/>
    </x:row>
    <x:row r="11">
      <x:c r="A11" t="str">
        <x:v>Design</x:v>
      </x:c>
      <x:c r="B11" t="str">
        <x:v>Architectural drawings, area schedules and specifications</x:v>
      </x:c>
      <x:c r="C11" t="str">
        <x:v>Application</x:v>
      </x:c>
      <x:c r="D11" t="str">
        <x:v>Architect</x:v>
      </x:c>
      <x:c r="E11" s="32" t="str">
        <x:v>Not Started</x:v>
      </x:c>
      <x:c r="F11" s="80" t="str"/>
      <x:c r="G11" s="32" t="str"/>
      <x:c r="H11" s="32" t="str"/>
    </x:row>
    <x:row r="12">
      <x:c r="A12" t="str">
        <x:v>Design</x:v>
      </x:c>
      <x:c r="B12" t="str">
        <x:v>Energy model and code-tier evidence</x:v>
      </x:c>
      <x:c r="C12" t="str">
        <x:v>Application</x:v>
      </x:c>
      <x:c r="D12" t="str">
        <x:v>Energy Consultant</x:v>
      </x:c>
      <x:c r="E12" s="32" t="str">
        <x:v>Not Started</x:v>
      </x:c>
      <x:c r="F12" s="80" t="str"/>
      <x:c r="G12" s="32" t="str"/>
      <x:c r="H12" s="32" t="str"/>
    </x:row>
    <x:row r="13">
      <x:c r="A13" t="str">
        <x:v>Cost</x:v>
      </x:c>
      <x:c r="B13" t="str">
        <x:v>Detailed development budget and sources / uses</x:v>
      </x:c>
      <x:c r="C13" t="str">
        <x:v>Application</x:v>
      </x:c>
      <x:c r="D13" t="str">
        <x:v>Developer / QS</x:v>
      </x:c>
      <x:c r="E13" s="32" t="str">
        <x:v>Not Started</x:v>
      </x:c>
      <x:c r="F13" s="80" t="str"/>
      <x:c r="G13" s="32" t="str"/>
      <x:c r="H13" s="32" t="str"/>
    </x:row>
    <x:row r="14">
      <x:c r="A14" t="str">
        <x:v>Cost</x:v>
      </x:c>
      <x:c r="B14" t="str">
        <x:v>Independent cost consultant report</x:v>
      </x:c>
      <x:c r="C14" t="str">
        <x:v>Application</x:v>
      </x:c>
      <x:c r="D14" t="str">
        <x:v>QS</x:v>
      </x:c>
      <x:c r="E14" s="32" t="str">
        <x:v>Not Started</x:v>
      </x:c>
      <x:c r="F14" s="80" t="str"/>
      <x:c r="G14" s="32" t="str"/>
      <x:c r="H14" s="32" t="str"/>
    </x:row>
    <x:row r="15">
      <x:c r="A15" t="str">
        <x:v>Construction</x:v>
      </x:c>
      <x:c r="B15" t="str">
        <x:v>GC qualifications, contract, schedule and bonding</x:v>
      </x:c>
      <x:c r="C15" t="str">
        <x:v>Application / closing</x:v>
      </x:c>
      <x:c r="D15" t="str">
        <x:v>GC / Lawyer</x:v>
      </x:c>
      <x:c r="E15" s="32" t="str">
        <x:v>Not Started</x:v>
      </x:c>
      <x:c r="F15" s="80" t="str"/>
      <x:c r="G15" s="32" t="str"/>
      <x:c r="H15" s="32" t="str"/>
    </x:row>
    <x:row r="16">
      <x:c r="A16" t="str">
        <x:v>Environment</x:v>
      </x:c>
      <x:c r="B16" t="str">
        <x:v>Phase I ESA and follow-up reports</x:v>
      </x:c>
      <x:c r="C16" t="str">
        <x:v>Application</x:v>
      </x:c>
      <x:c r="D16" t="str">
        <x:v>Environmental</x:v>
      </x:c>
      <x:c r="E16" s="32" t="str">
        <x:v>Not Started</x:v>
      </x:c>
      <x:c r="F16" s="80" t="str"/>
      <x:c r="G16" s="32" t="str"/>
      <x:c r="H16" s="32" t="str"/>
    </x:row>
    <x:row r="17">
      <x:c r="A17" t="str">
        <x:v>Engineering</x:v>
      </x:c>
      <x:c r="B17" t="str">
        <x:v>Geotechnical, civil, structural and servicing reports</x:v>
      </x:c>
      <x:c r="C17" t="str">
        <x:v>Application</x:v>
      </x:c>
      <x:c r="D17" t="str">
        <x:v>Engineers</x:v>
      </x:c>
      <x:c r="E17" s="32" t="str">
        <x:v>Not Started</x:v>
      </x:c>
      <x:c r="F17" s="80" t="str"/>
      <x:c r="G17" s="32" t="str"/>
      <x:c r="H17" s="32" t="str"/>
    </x:row>
    <x:row r="18">
      <x:c r="A18" t="str">
        <x:v>Market</x:v>
      </x:c>
      <x:c r="B18" t="str">
        <x:v>Appraisal, rent comparables and housing-need evidence</x:v>
      </x:c>
      <x:c r="C18" t="str">
        <x:v>Application</x:v>
      </x:c>
      <x:c r="D18" t="str">
        <x:v>Appraiser</x:v>
      </x:c>
      <x:c r="E18" s="32" t="str">
        <x:v>Not Started</x:v>
      </x:c>
      <x:c r="F18" s="80" t="str"/>
      <x:c r="G18" s="32" t="str"/>
      <x:c r="H18" s="32" t="str"/>
    </x:row>
    <x:row r="19">
      <x:c r="A19" t="str">
        <x:v>Operations</x:v>
      </x:c>
      <x:c r="B19" t="str">
        <x:v>Operating budget and property-management agreement</x:v>
      </x:c>
      <x:c r="C19" t="str">
        <x:v>Application</x:v>
      </x:c>
      <x:c r="D19" t="str">
        <x:v>Property Manager</x:v>
      </x:c>
      <x:c r="E19" s="32" t="str">
        <x:v>Not Started</x:v>
      </x:c>
      <x:c r="F19" s="80" t="str"/>
      <x:c r="G19" s="32" t="str"/>
      <x:c r="H19" s="32" t="str"/>
    </x:row>
    <x:row r="20">
      <x:c r="A20" t="str">
        <x:v>Affordability</x:v>
      </x:c>
      <x:c r="B20" t="str">
        <x:v>Affordable unit schedule, rent methodology and covenant</x:v>
      </x:c>
      <x:c r="C20" t="str">
        <x:v>Application</x:v>
      </x:c>
      <x:c r="D20" t="str">
        <x:v>Developer / Lender</x:v>
      </x:c>
      <x:c r="E20" s="32" t="str">
        <x:v>Not Started</x:v>
      </x:c>
      <x:c r="F20" s="80" t="str"/>
      <x:c r="G20" s="32" t="str"/>
      <x:c r="H20" s="32" t="str"/>
    </x:row>
    <x:row r="21">
      <x:c r="A21" t="str">
        <x:v>Insurance</x:v>
      </x:c>
      <x:c r="B21" t="str">
        <x:v>Construction and operating insurance evidence</x:v>
      </x:c>
      <x:c r="C21" t="str">
        <x:v>Closing</x:v>
      </x:c>
      <x:c r="D21" t="str">
        <x:v>Insurance Broker</x:v>
      </x:c>
      <x:c r="E21" s="32" t="str">
        <x:v>Not Started</x:v>
      </x:c>
      <x:c r="F21" s="80" t="str"/>
      <x:c r="G21" s="32" t="str"/>
      <x:c r="H21" s="32" t="str"/>
    </x:row>
    <x:row r="22">
      <x:c r="A22" t="str">
        <x:v>Permits</x:v>
      </x:c>
      <x:c r="B22" t="str">
        <x:v>Building permit / evidence of permit pathway</x:v>
      </x:c>
      <x:c r="C22" t="str">
        <x:v>Advance</x:v>
      </x:c>
      <x:c r="D22" t="str">
        <x:v>Architect</x:v>
      </x:c>
      <x:c r="E22" s="32" t="str">
        <x:v>Not Started</x:v>
      </x:c>
      <x:c r="F22" s="80" t="str"/>
      <x:c r="G22" s="32" t="str"/>
      <x:c r="H22" s="32" t="str"/>
    </x:row>
    <x:row r="23">
      <x:c r="A23" t="str">
        <x:v>Legal</x:v>
      </x:c>
      <x:c r="B23" t="str">
        <x:v>Loan, mortgage, guarantee and security documentation</x:v>
      </x:c>
      <x:c r="C23" t="str">
        <x:v>Closing</x:v>
      </x:c>
      <x:c r="D23" t="str">
        <x:v>Lender Counsel</x:v>
      </x:c>
      <x:c r="E23" s="32" t="str">
        <x:v>Not Started</x:v>
      </x:c>
      <x:c r="F23" s="80" t="str"/>
      <x:c r="G23" s="32" t="str"/>
      <x:c r="H23" s="32" t="str"/>
    </x:row>
  </x:sheetData>
  <x:mergeCells>
    <x:mergeCell ref="A1:H1"/>
  </x:mergeCells>
  <x:dataValidations count="1">
    <x:dataValidation type="list" sqref="E4:E23">
      <x:formula1>"Not Started,Requested,Received,Under Review,Accepted,Issue,N/A"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1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5" t="str">
        <x:v>Investment Committee Dashboard</x:v>
      </x:c>
    </x:row>
    <x:row r="3" ht="21" customHeight="1">
      <x:c r="A3" s="14" t="str">
        <x:v>Project snapshot</x:v>
      </x:c>
    </x:row>
    <x:row r="4">
      <x:c r="A4" s="26" t="str">
        <x:v>Metric</x:v>
      </x:c>
      <x:c r="B4" s="26" t="str">
        <x:v>Result</x:v>
      </x:c>
      <x:c r="C4" s="26" t="str">
        <x:v>Threshold / Reference</x:v>
      </x:c>
      <x:c r="D4" s="26" t="str">
        <x:v>Status</x:v>
      </x:c>
    </x:row>
    <x:row r="5">
      <x:c r="A5" t="str">
        <x:v>Units</x:v>
      </x:c>
      <x:c r="B5" t="n">
        <x:f>'PROJECT INPUTS'!B8</x:f>
        <x:v>16</x:v>
      </x:c>
      <x:c r="C5" t="str">
        <x:v>12–24 target</x:v>
      </x:c>
      <x:c r="D5" t="str">
        <x:f>IF(B5&gt;=12,"OK","TOO SMALL")</x:f>
        <x:v>OK</x:v>
      </x:c>
    </x:row>
    <x:row r="6">
      <x:c r="A6" t="str">
        <x:v>Target offer</x:v>
      </x:c>
      <x:c r="B6" s="52" t="n">
        <x:f>'PROJECT INPUTS'!E6</x:f>
        <x:v>1350000</x:v>
      </x:c>
      <x:c r="C6" t="str">
        <x:v>≤ recommended max offer</x:v>
      </x:c>
      <x:c r="D6" t="str">
        <x:f>IF(B6&lt;='MAX LAND PRICE'!B14,"PASS","FAIL")</x:f>
        <x:v>FAIL</x:v>
      </x:c>
    </x:row>
    <x:row r="7">
      <x:c r="A7" t="str">
        <x:v>Total development cost</x:v>
      </x:c>
      <x:c r="B7" s="52" t="n">
        <x:f>'DEVELOPMENT BUDGET'!E17</x:f>
        <x:v>9298003.635171875</x:v>
      </x:c>
      <x:c r="C7" t="str">
        <x:v>Professional validation required</x:v>
      </x:c>
      <x:c r="D7" t="str">
        <x:v>REVIEW</x:v>
      </x:c>
    </x:row>
    <x:row r="8">
      <x:c r="A8" t="str">
        <x:v>Cost / unit</x:v>
      </x:c>
      <x:c r="B8" s="52" t="n">
        <x:f>'DEVELOPMENT BUDGET'!B20</x:f>
        <x:v>581125.2271982422</x:v>
      </x:c>
      <x:c r="C8" t="str">
        <x:v>Compare local replacement cost</x:v>
      </x:c>
      <x:c r="D8" t="str">
        <x:v>REVIEW</x:v>
      </x:c>
    </x:row>
    <x:row r="9">
      <x:c r="A9" t="str">
        <x:v>Stabilized NOI</x:v>
      </x:c>
      <x:c r="B9" s="52" t="n">
        <x:f>'OPERATING PRO FORMA'!B25</x:f>
        <x:v>215945</x:v>
      </x:c>
      <x:c r="C9" t="str">
        <x:v>Must support DCR</x:v>
      </x:c>
      <x:c r="D9" t="str">
        <x:f>IF('FINANCING'!B15&gt;0,"PASS","FAIL")</x:f>
        <x:v>PASS</x:v>
      </x:c>
    </x:row>
    <x:row r="10">
      <x:c r="A10" t="str">
        <x:v>Stabilized value</x:v>
      </x:c>
      <x:c r="B10" s="52" t="n">
        <x:f>'OPERATING PRO FORMA'!B29</x:f>
        <x:v>4546210.52631579</x:v>
      </x:c>
      <x:c r="C10" t="str">
        <x:v>Supported cap rate / appraisal</x:v>
      </x:c>
      <x:c r="D10" t="str">
        <x:f>IF(B10&gt;B7,"VALUE CREATED","FAIL")</x:f>
        <x:v>FAIL</x:v>
      </x:c>
    </x:row>
    <x:row r="12" ht="21" customHeight="1">
      <x:c r="A12" s="14" t="str">
        <x:v>Key decision metrics</x:v>
      </x:c>
    </x:row>
    <x:row r="13">
      <x:c r="A13" s="26" t="str">
        <x:v>Metric</x:v>
      </x:c>
      <x:c r="B13" s="26" t="str">
        <x:v>Result</x:v>
      </x:c>
      <x:c r="C13" s="26" t="str">
        <x:v>Minimum / Maximum</x:v>
      </x:c>
      <x:c r="D13" s="26" t="str">
        <x:v>Status</x:v>
      </x:c>
    </x:row>
    <x:row r="14">
      <x:c r="A14" t="str">
        <x:v>CMHC points</x:v>
      </x:c>
      <x:c r="B14" t="n">
        <x:f>'CMHC SCORECARD'!B14</x:f>
        <x:v>31</x:v>
      </x:c>
      <x:c r="C14" t="n">
        <x:v>47</x:v>
      </x:c>
      <x:c r="D14" t="str">
        <x:f>IF(B14&gt;=C14,"PASS","TIER 3 ONLY")</x:f>
        <x:v>TIER 3 ONLY</x:v>
      </x:c>
    </x:row>
    <x:row r="15">
      <x:c r="A15" t="str">
        <x:v>Preliminary loan</x:v>
      </x:c>
      <x:c r="B15" s="52" t="n">
        <x:f>'FINANCING'!B15</x:f>
        <x:v>3205574.444399685</x:v>
      </x:c>
      <x:c r="C15" t="n">
        <x:v>1000000</x:v>
      </x:c>
      <x:c r="D15" t="str">
        <x:f>IF(B15&gt;=C15,"PASS","FAIL")</x:f>
        <x:v>PASS</x:v>
      </x:c>
    </x:row>
    <x:row r="16">
      <x:c r="A16" t="str">
        <x:v>Cash equity</x:v>
      </x:c>
      <x:c r="B16" s="52" t="n">
        <x:f>'FINANCING'!B16</x:f>
        <x:v>6092429.190772191</x:v>
      </x:c>
      <x:c r="C16" t="str">
        <x:v>Manageable for sponsor</x:v>
      </x:c>
      <x:c r="D16" t="str">
        <x:v>REVIEW</x:v>
      </x:c>
    </x:row>
    <x:row r="17">
      <x:c r="A17" t="str">
        <x:v>Profit on cost</x:v>
      </x:c>
      <x:c r="B17" s="50" t="n">
        <x:f>'RETURNS'!B7</x:f>
        <x:v>-0.5110552001594532</x:v>
      </x:c>
      <x:c r="C17" s="50" t="n">
        <x:f>'PROJECT INPUTS'!B22</x:f>
        <x:v>0.15</x:v>
      </x:c>
      <x:c r="D17" t="str">
        <x:f>IF(B17&gt;=C17,"PASS","FAIL")</x:f>
        <x:v>FAIL</x:v>
      </x:c>
    </x:row>
    <x:row r="18">
      <x:c r="A18" t="str">
        <x:v>Yield on cost</x:v>
      </x:c>
      <x:c r="B18" s="50" t="n">
        <x:f>'RETURNS'!B9</x:f>
        <x:v>0.023224877992425976</x:v>
      </x:c>
      <x:c r="C18" s="50" t="n">
        <x:f>'PROJECT INPUTS'!B23</x:f>
        <x:v>0.0575</x:v>
      </x:c>
      <x:c r="D18" t="str">
        <x:f>IF(B18&gt;=C18,"PASS","FAIL")</x:f>
        <x:v>FAIL</x:v>
      </x:c>
    </x:row>
    <x:row r="19">
      <x:c r="A19" t="str">
        <x:v>Development spread</x:v>
      </x:c>
      <x:c r="B19" s="50" t="n">
        <x:f>'RETURNS'!B10</x:f>
        <x:v>-0.024275122007574024</x:v>
      </x:c>
      <x:c r="C19" s="50" t="n">
        <x:v>0.01</x:v>
      </x:c>
      <x:c r="D19" t="str">
        <x:f>IF(B19&gt;=C19,"PASS","FAIL")</x:f>
        <x:v>FAIL</x:v>
      </x:c>
    </x:row>
    <x:row r="20">
      <x:c r="A20" t="str">
        <x:v>Site score</x:v>
      </x:c>
      <x:c r="B20" s="50" t="n">
        <x:f>'SITE SCREEN'!B18</x:f>
        <x:v>0</x:v>
      </x:c>
      <x:c r="C20" s="50" t="n">
        <x:v>0.75</x:v>
      </x:c>
      <x:c r="D20" t="str">
        <x:f>IF(B20&gt;=C20,"PASS","FAIL")</x:f>
        <x:v>FAIL</x:v>
      </x:c>
    </x:row>
    <x:row r="21">
      <x:c r="A21" t="str">
        <x:v>Open critical DD items</x:v>
      </x:c>
      <x:c r="B21" t="n">
        <x:f>'DUE DILIGENCE'!B26</x:f>
        <x:v>15</x:v>
      </x:c>
      <x:c r="C21" t="n">
        <x:v>0</x:v>
      </x:c>
      <x:c r="D21" t="str">
        <x:f>IF(B21=0,"PASS","DO NOT WAIVE")</x:f>
        <x:v>DO NOT WAIVE</x:v>
      </x:c>
    </x:row>
    <x:row r="23" ht="21" customHeight="1">
      <x:c r="A23" s="14" t="str">
        <x:v>Overall recommendation</x:v>
      </x:c>
    </x:row>
    <x:row r="24">
      <x:c r="A24" t="str">
        <x:v>Model decision</x:v>
      </x:c>
      <x:c r="B24" s="10" t="str">
        <x:f>'RETURNS'!B15</x:f>
        <x:v>NO-GO – destroys value</x:v>
      </x:c>
    </x:row>
    <x:row r="25">
      <x:c r="A25" t="str">
        <x:v>Residual land decision</x:v>
      </x:c>
      <x:c r="B25" s="10" t="str">
        <x:f>'MAX LAND PRICE'!B18</x:f>
        <x:v>TARGET OFFER IS TOO HIGH</x:v>
      </x:c>
    </x:row>
    <x:row r="26">
      <x:c r="A26" t="str">
        <x:v>Due diligence decision</x:v>
      </x:c>
      <x:c r="B26" s="10" t="str">
        <x:f>'DUE DILIGENCE'!B30</x:f>
        <x:v>DO NOT WAIVE CONDITIONS</x:v>
      </x:c>
    </x:row>
    <x:row r="27">
      <x:c r="A27" t="str">
        <x:v>Next action</x:v>
      </x:c>
      <x:c r="B27" s="10" t="str">
        <x:f>IF(OR(ISNUMBER(SEARCH("NO-GO",B24)),ISNUMBER(SEARCH("TOO HIGH",B25)),ISNUMBER(SEARCH("DO NOT",B26))),"STOP / RENEGOTIATE / TERMINATE","PROCEED TO PROFESSIONAL VALIDATION")</x:f>
        <x:v>STOP / RENEGOTIATE / TERMINATE</x:v>
      </x:c>
    </x:row>
  </x:sheetData>
  <x:mergeCells>
    <x:mergeCell ref="A1:H1"/>
    <x:mergeCell ref="A3:H3"/>
    <x:mergeCell ref="A12:H12"/>
    <x:mergeCell ref="A23:H23"/>
  </x:mergeCells>
  <x:pageMargins left="0.7" right="0.7" top="0.75" bottom="0.75" header="0.3" footer="0.3"/>
</x:worksheet>
</file>